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ortada" state="visible" r:id="rId4"/>
    <sheet sheetId="2" name="Parametros" state="visible" r:id="rId5"/>
    <sheet sheetId="5" name="Inquilinos" state="visible" r:id="rId6"/>
    <sheet sheetId="6" name="Cobros" state="visible" r:id="rId7"/>
    <sheet sheetId="8" name="Movimientos" state="visible" r:id="rId8"/>
    <sheet sheetId="9" name="Resumen Mensual" state="visible" r:id="rId9"/>
    <sheet sheetId="3" name="Presupuesto" state="visible" r:id="rId10"/>
    <sheet sheetId="11" name="Indicadores" state="visible" r:id="rId11"/>
  </sheets>
  <definedNames>
    <definedName name="TC">Parametros!$B$4</definedName>
    <definedName name="ANIO">Parametros!$B$5</definedName>
    <definedName name="FondoObj">Parametros!$B$6</definedName>
    <definedName name="SaldoHoy">Parametros!$B$7</definedName>
    <definedName name="MESCALC">Parametros!$B$8</definedName>
    <definedName name="Monedas">Parametros!$D$12:$D$13</definedName>
    <definedName name="Tipos">Parametros!$E$12:$E$13</definedName>
    <definedName name="Miembros">Parametros!$F$12:$F$15</definedName>
    <definedName name="Medios">Parametros!$G$12:$G$17</definedName>
    <definedName name="EstadosCobro">Parametros!$H$12:$H$15</definedName>
    <definedName name="CatEgreso">Parametros!$I$12:$I$26</definedName>
    <definedName name="CatIngreso">Parametros!$J$12:$J$17</definedName>
    <definedName name="Frecuencias">Parametros!$L$12:$L$16</definedName>
    <definedName name="TablaFrec">Parametros!$L$12:$M$16</definedName>
    <definedName name="ClaveIPC">'Inflacion INDEC'!$A$5:$A$64</definedName>
    <definedName name="IndiceIPC">'Inflacion INDEC'!$C$5:$C$64</definedName>
  </definedNames>
  <calcPr calcId="171027" fullCalcOnLoad="1"/>
</workbook>
</file>

<file path=xl/sharedStrings.xml><?xml version="1.0" encoding="utf-8"?>
<sst xmlns="http://schemas.openxmlformats.org/spreadsheetml/2006/main" count="447" uniqueCount="271">
  <si>
    <t>FINANZAS DE LA FAMILIA</t>
  </si>
  <si>
    <t>Plan económico doméstico · Año 2026</t>
  </si>
  <si>
    <t>¿Cómo está organizado este libro?</t>
  </si>
  <si>
    <t>Parámetros</t>
  </si>
  <si>
    <t>Empezá acá: tipo de cambio, mes de cálculo y tabla de frecuencias.</t>
  </si>
  <si>
    <t>Inflacion INDEC</t>
  </si>
  <si>
    <t>Cargá el índice IPC cada mes. Reajusta todos los alquileres.</t>
  </si>
  <si>
    <t>Guia INDEC</t>
  </si>
  <si>
    <t>Paso a paso para traer el IPC automático con Power Query.</t>
  </si>
  <si>
    <t>Inquilinos</t>
  </si>
  <si>
    <t>Los 29 inquilinos. El alquiler se reajusta solo por inflación INDEC.</t>
  </si>
  <si>
    <t>Cobros</t>
  </si>
  <si>
    <t>Detalle de cada cobro de alquiler (una fila por pago).</t>
  </si>
  <si>
    <t>Tablero Inquilinos</t>
  </si>
  <si>
    <t>Tablero automático: quién pagó cada mes y % de cumplimiento.</t>
  </si>
  <si>
    <t>Movimientos</t>
  </si>
  <si>
    <t>Ingresos y egresos de la familia (Yo, Hermana, Mamá).</t>
  </si>
  <si>
    <t>Resumen Mensual</t>
  </si>
  <si>
    <t>Resumen automático mes a mes: ingresos, egresos y ahorro.</t>
  </si>
  <si>
    <t>Presupuesto</t>
  </si>
  <si>
    <t>Presupuesto por categoría vs gasto real del año.</t>
  </si>
  <si>
    <t>Indicadores</t>
  </si>
  <si>
    <t>Indicadores financieros para tomar mejores decisiones.</t>
  </si>
  <si>
    <t>Código de colores</t>
  </si>
  <si>
    <t>Azul</t>
  </si>
  <si>
    <t>Dato que cargás vos (editable)</t>
  </si>
  <si>
    <t>Negro</t>
  </si>
  <si>
    <t>Cálculo / fórmula (no tocar)</t>
  </si>
  <si>
    <t>Verde</t>
  </si>
  <si>
    <t>Trae datos de otra hoja</t>
  </si>
  <si>
    <t>Fondo amarillo</t>
  </si>
  <si>
    <t>Supuesto clave a revisar</t>
  </si>
  <si>
    <t>Reajuste de alquileres:</t>
  </si>
  <si>
    <t>Cada inquilino tiene un 'mes base' y una frecuencia. El alquiler sube según el IPC del INDEC que cargás en la hoja 'Inflacion INDEC'.</t>
  </si>
  <si>
    <t>PARÁMETROS Y SUPUESTOS</t>
  </si>
  <si>
    <t>Actualizá el tipo de cambio y el mes de cálculo. Las listas alimentan los menús desplegables.</t>
  </si>
  <si>
    <t>Tipo de cambio USD → ARS</t>
  </si>
  <si>
    <t>Año de trabajo</t>
  </si>
  <si>
    <t>Fondo de emergencia objetivo (meses)</t>
  </si>
  <si>
    <t>Saldo disponible hoy (ARS)</t>
  </si>
  <si>
    <t>Mes de cálculo del reajuste</t>
  </si>
  <si>
    <t>Monedas</t>
  </si>
  <si>
    <t>Tipo mov.</t>
  </si>
  <si>
    <t>Miembros</t>
  </si>
  <si>
    <t>Medios de pago</t>
  </si>
  <si>
    <t>Estado cobro</t>
  </si>
  <si>
    <t>Categorías egreso</t>
  </si>
  <si>
    <t>Categorías ingreso</t>
  </si>
  <si>
    <t>Frecuencia</t>
  </si>
  <si>
    <t>Meses</t>
  </si>
  <si>
    <t>ARS</t>
  </si>
  <si>
    <t>Ingreso</t>
  </si>
  <si>
    <t>Yo</t>
  </si>
  <si>
    <t>Efectivo</t>
  </si>
  <si>
    <t>Cobrado</t>
  </si>
  <si>
    <t>Vivienda/Expensas</t>
  </si>
  <si>
    <t>Alquileres</t>
  </si>
  <si>
    <t>Mensual</t>
  </si>
  <si>
    <t>USD</t>
  </si>
  <si>
    <t>Egreso</t>
  </si>
  <si>
    <t>Hermana</t>
  </si>
  <si>
    <t>Transferencia</t>
  </si>
  <si>
    <t>Pendiente</t>
  </si>
  <si>
    <t>Servicios (luz/gas/agua)</t>
  </si>
  <si>
    <t>Sueldo</t>
  </si>
  <si>
    <t>Trimestral</t>
  </si>
  <si>
    <t>Mamá</t>
  </si>
  <si>
    <t>Cheque</t>
  </si>
  <si>
    <t>Parcial</t>
  </si>
  <si>
    <t>Internet/Teléfono</t>
  </si>
  <si>
    <t>Honorarios</t>
  </si>
  <si>
    <t>Semestral</t>
  </si>
  <si>
    <t>Familia</t>
  </si>
  <si>
    <t>Débito</t>
  </si>
  <si>
    <t>Vencido</t>
  </si>
  <si>
    <t>Supermercado/Comida</t>
  </si>
  <si>
    <t>Intereses/Inversiones</t>
  </si>
  <si>
    <t>Anual</t>
  </si>
  <si>
    <t>Mercado Pago</t>
  </si>
  <si>
    <t>Salud/Obra social</t>
  </si>
  <si>
    <t>Venta de activos</t>
  </si>
  <si>
    <t>Sin ajuste</t>
  </si>
  <si>
    <t>Otro</t>
  </si>
  <si>
    <t>Transporte/Auto</t>
  </si>
  <si>
    <t>Otros ingresos</t>
  </si>
  <si>
    <t>Educación</t>
  </si>
  <si>
    <t>Impuestos (ABL/AFIP/Rentas)</t>
  </si>
  <si>
    <t>Mantenimiento locales</t>
  </si>
  <si>
    <t>Seguros</t>
  </si>
  <si>
    <t>Honorarios/Gestión</t>
  </si>
  <si>
    <t>Ocio/Viajes</t>
  </si>
  <si>
    <t>Indumentaria</t>
  </si>
  <si>
    <t>Ahorro/Inversión</t>
  </si>
  <si>
    <t>Otros</t>
  </si>
  <si>
    <t>LISTADO DE INQUILINOS</t>
  </si>
  <si>
    <t>IPC ajuste: coeficiente manual (1.0 = sin ajuste; 1.45 = +45%). Alquiler ajustado se calcula solo.</t>
  </si>
  <si>
    <t>ID</t>
  </si>
  <si>
    <t>Inquilino</t>
  </si>
  <si>
    <t xml:space="preserve">Local /
Propiedad</t>
  </si>
  <si>
    <t xml:space="preserve">Inicio
contrato</t>
  </si>
  <si>
    <t xml:space="preserve">Fin
contrato</t>
  </si>
  <si>
    <t xml:space="preserve">Mes base
(ajuste)</t>
  </si>
  <si>
    <t xml:space="preserve">Alquiler
base</t>
  </si>
  <si>
    <t>Moneda</t>
  </si>
  <si>
    <t xml:space="preserve">Frecuencia
ajuste</t>
  </si>
  <si>
    <t xml:space="preserve">IPC ajuste
(coef.)</t>
  </si>
  <si>
    <t xml:space="preserve">Alquiler
ajustado</t>
  </si>
  <si>
    <t xml:space="preserve">Alquiler
ajustado (ARS)</t>
  </si>
  <si>
    <t xml:space="preserve">Día
venc.</t>
  </si>
  <si>
    <t>Estado</t>
  </si>
  <si>
    <t>Notas</t>
  </si>
  <si>
    <t>Inquilino 01</t>
  </si>
  <si>
    <t>Local 01</t>
  </si>
  <si>
    <t>Activo</t>
  </si>
  <si>
    <t/>
  </si>
  <si>
    <t>Inquilino 02</t>
  </si>
  <si>
    <t>Local 02</t>
  </si>
  <si>
    <t>Inquilino 03</t>
  </si>
  <si>
    <t>Local 03</t>
  </si>
  <si>
    <t>Inquilino 04</t>
  </si>
  <si>
    <t>Local 04</t>
  </si>
  <si>
    <t>Inquilino 05</t>
  </si>
  <si>
    <t>Local 05</t>
  </si>
  <si>
    <t>Inquilino 06</t>
  </si>
  <si>
    <t>Local 06</t>
  </si>
  <si>
    <t>Inquilino 07</t>
  </si>
  <si>
    <t>Local 07</t>
  </si>
  <si>
    <t>Inquilino 08</t>
  </si>
  <si>
    <t>Local 08</t>
  </si>
  <si>
    <t>Inquilino 09</t>
  </si>
  <si>
    <t>Local 09</t>
  </si>
  <si>
    <t>Inquilino 10</t>
  </si>
  <si>
    <t>Local 10</t>
  </si>
  <si>
    <t>Inquilino 11</t>
  </si>
  <si>
    <t>Local 11</t>
  </si>
  <si>
    <t>Inquilino 12</t>
  </si>
  <si>
    <t>Local 12</t>
  </si>
  <si>
    <t>Inquilino 13</t>
  </si>
  <si>
    <t>Local 13</t>
  </si>
  <si>
    <t>Inquilino 14</t>
  </si>
  <si>
    <t>Local 14</t>
  </si>
  <si>
    <t>Inquilino 15</t>
  </si>
  <si>
    <t>Local 15</t>
  </si>
  <si>
    <t>Inquilino 16</t>
  </si>
  <si>
    <t>Local 16</t>
  </si>
  <si>
    <t>Inquilino 17</t>
  </si>
  <si>
    <t>Local 17</t>
  </si>
  <si>
    <t>Inquilino 18</t>
  </si>
  <si>
    <t>Local 18</t>
  </si>
  <si>
    <t>Inquilino 19</t>
  </si>
  <si>
    <t>Local 19</t>
  </si>
  <si>
    <t>Inquilino 20</t>
  </si>
  <si>
    <t>Local 20</t>
  </si>
  <si>
    <t>Inquilino 21</t>
  </si>
  <si>
    <t>Local 21</t>
  </si>
  <si>
    <t>Inquilino 22</t>
  </si>
  <si>
    <t>Local 22</t>
  </si>
  <si>
    <t>Inquilino 23</t>
  </si>
  <si>
    <t>Local 23</t>
  </si>
  <si>
    <t>Inquilino 24</t>
  </si>
  <si>
    <t>Local 24</t>
  </si>
  <si>
    <t>Inquilino 25</t>
  </si>
  <si>
    <t>Local 25</t>
  </si>
  <si>
    <t>Inquilino 26</t>
  </si>
  <si>
    <t>Local 26</t>
  </si>
  <si>
    <t>Inquilino 27</t>
  </si>
  <si>
    <t>Local 27</t>
  </si>
  <si>
    <t>Inquilino 28</t>
  </si>
  <si>
    <t>Local 28</t>
  </si>
  <si>
    <t>Inquilino 29</t>
  </si>
  <si>
    <t>Local 29</t>
  </si>
  <si>
    <t>REGISTRO DE COBROS DE ALQUILER</t>
  </si>
  <si>
    <t>Una fila por pago recibido. Elegí el ID del inquilino; el nombre y las conversiones se completan solos.</t>
  </si>
  <si>
    <t>Fecha cobro</t>
  </si>
  <si>
    <t>ID Inq.</t>
  </si>
  <si>
    <t>Mes</t>
  </si>
  <si>
    <t>Período (texto)</t>
  </si>
  <si>
    <t>Monto</t>
  </si>
  <si>
    <t>Monto (ARS)</t>
  </si>
  <si>
    <t>Monto (USD)</t>
  </si>
  <si>
    <t>Medio de pago</t>
  </si>
  <si>
    <t>TOTAL cobrado</t>
  </si>
  <si>
    <t>MOVIMIENTOS DE LA FAMILIA — INGRESOS Y EGRESOS</t>
  </si>
  <si>
    <t>Registrá entradas y salidas de plata. Los alquileres ya se registran en 'Cobros'; acá van sueldos, gastos, impuestos, etc.</t>
  </si>
  <si>
    <t>Fecha</t>
  </si>
  <si>
    <t>Tipo</t>
  </si>
  <si>
    <t>Miembro</t>
  </si>
  <si>
    <t>Categoría</t>
  </si>
  <si>
    <t>Descripción</t>
  </si>
  <si>
    <t>RESUMEN MENSUAL (ARS)</t>
  </si>
  <si>
    <t>Todo automático: alquileres desde 'Cobros', otros ingresos y egresos desde 'Movimientos'.</t>
  </si>
  <si>
    <t>N°</t>
  </si>
  <si>
    <t>Ingresos alquileres</t>
  </si>
  <si>
    <t>Total ingresos</t>
  </si>
  <si>
    <t>Egresos</t>
  </si>
  <si>
    <t>Resultado neto</t>
  </si>
  <si>
    <t>Tasa de ahorro</t>
  </si>
  <si>
    <t>Acumulado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</si>
  <si>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</si>
  <si>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</si>
  <si>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</si>
  <si>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</si>
  <si>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</si>
  <si>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</si>
  <si>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</si>
  <si>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</si>
  <si>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</si>
  <si>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</si>
  <si>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</si>
  <si>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</si>
  <si>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AÑO</t>
  </si>
  <si>
    <t>PRESUPUESTO ANUAL POR CATEGORÍA (ARS)</t>
  </si>
  <si>
    <t>Cargá / ajustá el presupuesto mensual por categoría. El gasto real se calcula automáticamente desde Movimientos.</t>
  </si>
  <si>
    <t>Presup. mensual</t>
  </si>
  <si>
    <t>Presup. anual</t>
  </si>
  <si>
    <t>Gasto real (año)</t>
  </si>
  <si>
    <t>Desvío</t>
  </si>
  <si>
    <t>% usado</t>
  </si>
  <si>
    <t>TOTAL</t>
  </si>
  <si>
    <t>INDICADORES FINANCIEROS</t>
  </si>
  <si>
    <t>Panel para tomar decisiones. Todo se calcula desde las demás hojas.</t>
  </si>
  <si>
    <t>Resultado del año</t>
  </si>
  <si>
    <t>Egresos por miembro</t>
  </si>
  <si>
    <t>Indicador</t>
  </si>
  <si>
    <t>Valor</t>
  </si>
  <si>
    <t>Lectura / comentario</t>
  </si>
  <si>
    <t>Mes actual</t>
  </si>
  <si>
    <t>Año</t>
  </si>
  <si>
    <t>Ingresos totales (año)</t>
  </si>
  <si>
    <t>Alquileres + otros ingresos.</t>
  </si>
  <si>
    <t>José</t>
  </si>
  <si>
    <t>Egresos totales (año)</t>
  </si>
  <si>
    <t>Todos los gastos cargados.</t>
  </si>
  <si>
    <t>Clara</t>
  </si>
  <si>
    <t>Resultado neto (año)</t>
  </si>
  <si>
    <t>Lo que la familia ahorró/consumió.</t>
  </si>
  <si>
    <t>Laura</t>
  </si>
  <si>
    <t>Tasa de ahorro anual</t>
  </si>
  <si>
    <t>Sano &gt; 20%. Cuanto más alto, mejor.</t>
  </si>
  <si>
    <t>Ratio egresos / ingresos</t>
  </si>
  <si>
    <t>Debajo de 80% deja margen de ahorro.</t>
  </si>
  <si>
    <t>Promedios mensuales</t>
  </si>
  <si>
    <t>Egresos por categoría (año)</t>
  </si>
  <si>
    <t>Ingreso promedio mensual</t>
  </si>
  <si>
    <t>Promedio de los 12 meses.</t>
  </si>
  <si>
    <t>% del total</t>
  </si>
  <si>
    <t>Egreso promedio mensual</t>
  </si>
  <si>
    <t>Ahorro promedio mensual</t>
  </si>
  <si>
    <t>Resultado neto medio.</t>
  </si>
  <si>
    <t>Alquileres / cobranza</t>
  </si>
  <si>
    <t>Alquiler esperado (año)</t>
  </si>
  <si>
    <t>Ya reajustado por inflación INDEC.</t>
  </si>
  <si>
    <t>Alquiler cobrado (año)</t>
  </si>
  <si>
    <t>Total efectivamente cobrado.</t>
  </si>
  <si>
    <t>Tasa de cobranza</t>
  </si>
  <si>
    <t>Objetivo: cerca del 100%.</t>
  </si>
  <si>
    <t>Morosidad</t>
  </si>
  <si>
    <t>Lo que falta cobrar. Cuanto más bajo, mejor.</t>
  </si>
  <si>
    <t>Ingreso medio por local (mensual)</t>
  </si>
  <si>
    <t>Renta media reajustada por inquilino.</t>
  </si>
  <si>
    <t>Concentración: mayor inquilino</t>
  </si>
  <si>
    <t>Si es alto, dependés mucho de un local.</t>
  </si>
  <si>
    <t>Liquidez y respaldo</t>
  </si>
  <si>
    <t>Saldo disponible hoy</t>
  </si>
  <si>
    <t>Cargalo en 'Parámetros'.</t>
  </si>
  <si>
    <t>Fondo de emergencia (meses cubiertos)</t>
  </si>
  <si>
    <t>Meses que aguantás sin ingresos.</t>
  </si>
  <si>
    <t>Objetivo fondo de emergencia (ARS)</t>
  </si>
  <si>
    <t>Meses objetivo × egreso medio.</t>
  </si>
  <si>
    <t>Brecha vs objetivo de fondo</t>
  </si>
  <si>
    <t>Lo que falta ahorrar para el colchón.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</si>
</sst>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;(&quot;$&quot;#,##0);&quot;-&quot;"/>
    <numFmt numFmtId="165" formatCode="MMM-YYYY"/>
    <numFmt numFmtId="166" formatCode="dd/mm/yyyy"/>
    <numFmt numFmtId="167" formatCode="0.0000"/>
    <numFmt numFmtId="168" formatCode="&quot;US$&quot;#,##0;(&quot;US$&quot;#,##0);&quot;-&quot;"/>
    <numFmt numFmtId="169" formatCode="0.0%"/>
    <numFmt numFmtId="170" formatCode="#,##0.0;(#,##0.0);&quot;-&quot;"/>
  </numFmts>
  <fonts count="11" x14ac:knownFonts="1">
    <font>
      <color theme="1"/>
      <family val="2"/>
      <scheme val="minor"/>
      <sz val="11"/>
      <name val="Calibri"/>
    </font>
    <font>
      <b/>
      <color rgb="FF1F2937"/>
      <sz val="18"/>
      <name val="Calibri"/>
    </font>
    <font>
      <color rgb="FF6B7280"/>
      <sz val="11"/>
      <name val="Calibri"/>
    </font>
    <font>
      <b/>
      <color rgb="FFFFFFFF"/>
      <sz val="11"/>
      <name val="Calibri"/>
    </font>
    <font>
      <color rgb="FF1F2937"/>
      <sz val="10"/>
      <name val="Calibri"/>
    </font>
    <font>
      <b/>
      <color rgb="FFFFFFFF"/>
      <sz val="13"/>
      <name val="Calibri"/>
    </font>
    <font>
      <i/>
      <color rgb="FF6B7280"/>
      <sz val="9"/>
      <name val="Calibri"/>
    </font>
    <font>
      <color rgb="FF1F2937"/>
      <sz val="11"/>
      <name val="Calibri"/>
    </font>
    <font>
      <b/>
      <color rgb="FFFFFFFF"/>
      <sz val="10"/>
      <name val="Calibri"/>
    </font>
    <font>
      <color rgb="000000FF"/>
    </font>
    <font>
      <b/>
      <color rgb="FF1F2937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4151"/>
      </patternFill>
    </fill>
    <fill>
      <patternFill/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FFD1D5DB"/>
      </left>
      <right style="thin">
        <color rgb="FFD1D5DB"/>
      </right>
      <top style="medium">
        <color rgb="FF374151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3" fontId="0" fillId="0" borderId="0" xfId="0" applyNumberFormat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165" fontId="7" fillId="0" borderId="1" xfId="0" applyNumberFormat="1" applyFont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3" fontId="10" fillId="4" borderId="3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/>
    </xf>
    <xf numFmtId="169" fontId="10" fillId="4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0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3.xml"/><Relationship Id="rId11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C23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42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3" x14ac:dyDescent="0.25">
      <c r="B6" s="3" t="s">
        <v>3</v>
      </c>
      <c r="C6" s="4" t="s">
        <v>4</v>
      </c>
    </row>
    <row r="7" spans="2:3" x14ac:dyDescent="0.25">
      <c r="B7" s="3" t="s">
        <v>5</v>
      </c>
      <c r="C7" s="4" t="s">
        <v>6</v>
      </c>
    </row>
    <row r="8" spans="2:3" x14ac:dyDescent="0.25">
      <c r="B8" s="3" t="s">
        <v>7</v>
      </c>
      <c r="C8" s="4" t="s">
        <v>8</v>
      </c>
    </row>
    <row r="9" spans="2:3" x14ac:dyDescent="0.25">
      <c r="B9" s="3" t="s">
        <v>9</v>
      </c>
      <c r="C9" s="4" t="s">
        <v>10</v>
      </c>
    </row>
    <row r="10" spans="2:3" x14ac:dyDescent="0.25">
      <c r="B10" s="3" t="s">
        <v>11</v>
      </c>
      <c r="C10" s="4" t="s">
        <v>12</v>
      </c>
    </row>
    <row r="11" spans="2:3" x14ac:dyDescent="0.25">
      <c r="B11" s="3" t="s">
        <v>13</v>
      </c>
      <c r="C11" s="4" t="s">
        <v>14</v>
      </c>
    </row>
    <row r="12" spans="2:3" x14ac:dyDescent="0.25">
      <c r="B12" s="3" t="s">
        <v>15</v>
      </c>
      <c r="C12" s="4" t="s">
        <v>16</v>
      </c>
    </row>
    <row r="13" spans="2:3" x14ac:dyDescent="0.25">
      <c r="B13" s="3" t="s">
        <v>17</v>
      </c>
      <c r="C13" s="4" t="s">
        <v>18</v>
      </c>
    </row>
    <row r="14" spans="2:3" x14ac:dyDescent="0.25">
      <c r="B14" s="3" t="s">
        <v>19</v>
      </c>
      <c r="C14" s="4" t="s">
        <v>20</v>
      </c>
    </row>
    <row r="15" spans="2:3" x14ac:dyDescent="0.25">
      <c r="B15" s="3" t="s">
        <v>21</v>
      </c>
      <c r="C15" s="4" t="s">
        <v>22</v>
      </c>
    </row>
    <row r="17" spans="2:2" x14ac:dyDescent="0.25">
      <c r="B17" s="3" t="s">
        <v>23</v>
      </c>
    </row>
    <row r="18" spans="2:3" x14ac:dyDescent="0.25">
      <c r="B18" s="4" t="s">
        <v>24</v>
      </c>
      <c r="C18" s="4" t="s">
        <v>25</v>
      </c>
    </row>
    <row r="19" spans="2:3" x14ac:dyDescent="0.25">
      <c r="B19" s="3" t="s">
        <v>26</v>
      </c>
      <c r="C19" s="4" t="s">
        <v>27</v>
      </c>
    </row>
    <row r="20" spans="2:3" x14ac:dyDescent="0.25">
      <c r="B20" s="4" t="s">
        <v>28</v>
      </c>
      <c r="C20" s="4" t="s">
        <v>29</v>
      </c>
    </row>
    <row r="21" spans="2:3" x14ac:dyDescent="0.25">
      <c r="B21" s="4" t="s">
        <v>30</v>
      </c>
      <c r="C21" s="4" t="s">
        <v>31</v>
      </c>
    </row>
    <row r="23" spans="2:3" x14ac:dyDescent="0.25">
      <c r="B23" s="3" t="s">
        <v>32</v>
      </c>
      <c r="C23" s="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42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2" customWidth="1"/>
    <col min="2" max="2" width="20" customWidth="1"/>
    <col min="3" max="3" width="14" customWidth="1"/>
    <col min="4" max="4" width="16" customWidth="1"/>
    <col min="5" max="6" width="14" customWidth="1"/>
    <col min="7" max="7" width="18" customWidth="1"/>
    <col min="8" max="8" width="16" customWidth="1"/>
    <col min="9" max="9" width="26" customWidth="1"/>
    <col min="10" max="10" width="22" customWidth="1"/>
    <col min="11" max="11" width="3" customWidth="1"/>
    <col min="12" max="12" width="16" customWidth="1"/>
    <col min="13" max="13" width="10" customWidth="1"/>
  </cols>
  <sheetData>
    <row r="1" ht="28" customHeight="1" spans="1:4" x14ac:dyDescent="0.25">
      <c r="A1" s="5" t="s">
        <v>34</v>
      </c>
      <c r="B1" s="5"/>
      <c r="C1" s="5"/>
      <c r="D1" s="5"/>
    </row>
    <row r="2" ht="18" customHeight="1" spans="1:4" x14ac:dyDescent="0.25">
      <c r="A2" s="6" t="s">
        <v>35</v>
      </c>
      <c r="B2" s="6"/>
      <c r="C2" s="6"/>
      <c r="D2" s="6"/>
    </row>
    <row r="3" spans="1:2" x14ac:dyDescent="0.25">
      <c r="A3" s="7"/>
      <c r="B3" s="7"/>
    </row>
    <row r="4" ht="22" customHeight="1" spans="1:2" x14ac:dyDescent="0.25">
      <c r="A4" s="3" t="s">
        <v>36</v>
      </c>
      <c r="B4" s="8">
        <v>1150</v>
      </c>
    </row>
    <row r="5" ht="22" customHeight="1" spans="1:2" x14ac:dyDescent="0.25">
      <c r="A5" s="3" t="s">
        <v>37</v>
      </c>
      <c r="B5" s="9">
        <v>2026</v>
      </c>
    </row>
    <row r="6" ht="22" customHeight="1" spans="1:2" x14ac:dyDescent="0.25">
      <c r="A6" s="3" t="s">
        <v>38</v>
      </c>
      <c r="B6" s="9">
        <v>6</v>
      </c>
    </row>
    <row r="7" ht="22" customHeight="1" spans="1:2" x14ac:dyDescent="0.25">
      <c r="A7" s="3" t="s">
        <v>39</v>
      </c>
      <c r="B7" s="8">
        <v>0</v>
      </c>
    </row>
    <row r="8" ht="22" customHeight="1" spans="1:2" x14ac:dyDescent="0.25">
      <c r="A8" s="3" t="s">
        <v>40</v>
      </c>
      <c r="B8" s="10">
        <v>46143</v>
      </c>
    </row>
    <row r="9" spans="1:2" x14ac:dyDescent="0.25">
      <c r="A9" s="7"/>
      <c r="B9" s="7"/>
    </row>
    <row r="10" spans="1:2" x14ac:dyDescent="0.25">
      <c r="A10" s="7"/>
      <c r="B10" s="7"/>
    </row>
    <row r="11" spans="1:13" x14ac:dyDescent="0.25">
      <c r="A11" s="7"/>
      <c r="B11" s="7"/>
      <c r="D11" s="11" t="s">
        <v>41</v>
      </c>
      <c r="E11" s="11" t="s">
        <v>42</v>
      </c>
      <c r="F11" s="11" t="s">
        <v>43</v>
      </c>
      <c r="G11" s="11" t="s">
        <v>44</v>
      </c>
      <c r="H11" s="11" t="s">
        <v>45</v>
      </c>
      <c r="I11" s="11" t="s">
        <v>46</v>
      </c>
      <c r="J11" s="11" t="s">
        <v>47</v>
      </c>
      <c r="L11" s="11" t="s">
        <v>48</v>
      </c>
      <c r="M11" s="11" t="s">
        <v>49</v>
      </c>
    </row>
    <row r="12" spans="1:13" x14ac:dyDescent="0.25">
      <c r="A12" s="7"/>
      <c r="B12" s="7"/>
      <c r="D12" s="12" t="s">
        <v>50</v>
      </c>
      <c r="E12" s="12" t="s">
        <v>51</v>
      </c>
      <c r="F12" s="12" t="s">
        <v>52</v>
      </c>
      <c r="G12" s="12" t="s">
        <v>53</v>
      </c>
      <c r="H12" s="12" t="s">
        <v>54</v>
      </c>
      <c r="I12" s="12" t="s">
        <v>55</v>
      </c>
      <c r="J12" s="12" t="s">
        <v>56</v>
      </c>
      <c r="L12" s="11" t="s">
        <v>57</v>
      </c>
      <c r="M12" s="11">
        <v>1</v>
      </c>
    </row>
    <row r="13" spans="1:13" x14ac:dyDescent="0.25">
      <c r="A13" s="7"/>
      <c r="B13" s="7"/>
      <c r="D13" s="12" t="s">
        <v>58</v>
      </c>
      <c r="E13" s="12" t="s">
        <v>59</v>
      </c>
      <c r="F13" s="12" t="s">
        <v>60</v>
      </c>
      <c r="G13" s="12" t="s">
        <v>61</v>
      </c>
      <c r="H13" s="12" t="s">
        <v>62</v>
      </c>
      <c r="I13" s="12" t="s">
        <v>63</v>
      </c>
      <c r="J13" s="12" t="s">
        <v>64</v>
      </c>
      <c r="L13" s="11" t="s">
        <v>65</v>
      </c>
      <c r="M13" s="11">
        <v>3</v>
      </c>
    </row>
    <row r="14" spans="1:13" x14ac:dyDescent="0.25">
      <c r="A14" s="7"/>
      <c r="B14" s="7"/>
      <c r="F14" s="12" t="s">
        <v>66</v>
      </c>
      <c r="G14" s="12" t="s">
        <v>67</v>
      </c>
      <c r="H14" s="12" t="s">
        <v>68</v>
      </c>
      <c r="I14" s="12" t="s">
        <v>69</v>
      </c>
      <c r="J14" s="12" t="s">
        <v>70</v>
      </c>
      <c r="L14" s="11" t="s">
        <v>71</v>
      </c>
      <c r="M14" s="11">
        <v>6</v>
      </c>
    </row>
    <row r="15" spans="1:13" x14ac:dyDescent="0.25">
      <c r="A15" s="7"/>
      <c r="B15" s="7"/>
      <c r="F15" s="12" t="s">
        <v>72</v>
      </c>
      <c r="G15" s="12" t="s">
        <v>73</v>
      </c>
      <c r="H15" s="12" t="s">
        <v>74</v>
      </c>
      <c r="I15" s="12" t="s">
        <v>75</v>
      </c>
      <c r="J15" s="12" t="s">
        <v>76</v>
      </c>
      <c r="L15" s="11" t="s">
        <v>77</v>
      </c>
      <c r="M15" s="11">
        <v>12</v>
      </c>
    </row>
    <row r="16" spans="1:13" x14ac:dyDescent="0.25">
      <c r="A16" s="7"/>
      <c r="B16" s="7"/>
      <c r="G16" s="12" t="s">
        <v>78</v>
      </c>
      <c r="I16" s="12" t="s">
        <v>79</v>
      </c>
      <c r="J16" s="12" t="s">
        <v>80</v>
      </c>
      <c r="L16" s="11" t="s">
        <v>81</v>
      </c>
      <c r="M16" s="11">
        <v>0</v>
      </c>
    </row>
    <row r="17" spans="1:10" x14ac:dyDescent="0.25">
      <c r="A17" s="7"/>
      <c r="B17" s="7"/>
      <c r="G17" s="12" t="s">
        <v>82</v>
      </c>
      <c r="I17" s="12" t="s">
        <v>83</v>
      </c>
      <c r="J17" s="12" t="s">
        <v>84</v>
      </c>
    </row>
    <row r="18" spans="1:9" x14ac:dyDescent="0.25">
      <c r="A18" s="7"/>
      <c r="B18" s="7"/>
      <c r="I18" s="12" t="s">
        <v>85</v>
      </c>
    </row>
    <row r="19" spans="1:9" x14ac:dyDescent="0.25">
      <c r="A19" s="7"/>
      <c r="B19" s="7"/>
      <c r="I19" s="12" t="s">
        <v>86</v>
      </c>
    </row>
    <row r="20" spans="1:9" x14ac:dyDescent="0.25">
      <c r="A20" s="7"/>
      <c r="B20" s="7"/>
      <c r="I20" s="12" t="s">
        <v>87</v>
      </c>
    </row>
    <row r="21" spans="1:9" x14ac:dyDescent="0.25">
      <c r="A21" s="7"/>
      <c r="B21" s="7"/>
      <c r="I21" s="12" t="s">
        <v>88</v>
      </c>
    </row>
    <row r="22" spans="1:9" x14ac:dyDescent="0.25">
      <c r="A22" s="7"/>
      <c r="B22" s="7"/>
      <c r="I22" s="12" t="s">
        <v>89</v>
      </c>
    </row>
    <row r="23" spans="1:9" x14ac:dyDescent="0.25">
      <c r="A23" s="7"/>
      <c r="B23" s="7"/>
      <c r="I23" s="12" t="s">
        <v>90</v>
      </c>
    </row>
    <row r="24" spans="1:9" x14ac:dyDescent="0.25">
      <c r="A24" s="7"/>
      <c r="B24" s="7"/>
      <c r="I24" s="12" t="s">
        <v>91</v>
      </c>
    </row>
    <row r="25" spans="1:9" x14ac:dyDescent="0.25">
      <c r="A25" s="7"/>
      <c r="B25" s="7"/>
      <c r="I25" s="12" t="s">
        <v>92</v>
      </c>
    </row>
    <row r="26" spans="1:9" x14ac:dyDescent="0.25">
      <c r="A26" s="7"/>
      <c r="B26" s="7"/>
      <c r="I26" s="12" t="s">
        <v>93</v>
      </c>
    </row>
    <row r="27" spans="1:2" x14ac:dyDescent="0.25">
      <c r="A27" s="7"/>
      <c r="B27" s="7"/>
    </row>
    <row r="28" ht="26" customHeight="1" spans="1:1" x14ac:dyDescent="0.25">
      <c r="A28" s="7"/>
    </row>
    <row r="29" ht="24" customHeight="1" spans="1:6" x14ac:dyDescent="0.25">
      <c r="A29" s="7"/>
      <c r="B29" s="7"/>
      <c r="C29" s="13"/>
      <c r="D29" s="13"/>
      <c r="E29" s="13"/>
      <c r="F29" s="13"/>
    </row>
    <row r="30" ht="22" customHeight="1" spans="1:6" x14ac:dyDescent="0.25">
      <c r="A30" s="7"/>
      <c r="B30" s="7"/>
      <c r="C30" s="7"/>
      <c r="D30" s="7"/>
      <c r="E30" s="7"/>
      <c r="F30" s="7"/>
    </row>
    <row r="31" ht="22" customHeight="1" spans="1:6" x14ac:dyDescent="0.25">
      <c r="A31" s="13"/>
      <c r="B31" s="7"/>
      <c r="C31" s="7"/>
      <c r="D31" s="7"/>
      <c r="E31" s="7"/>
      <c r="F31" s="7"/>
    </row>
    <row r="32" ht="22" customHeight="1" spans="1:6" x14ac:dyDescent="0.25">
      <c r="A32" s="13"/>
      <c r="B32" s="7"/>
      <c r="C32" s="7"/>
      <c r="D32" s="7"/>
      <c r="E32" s="7"/>
      <c r="F32" s="7"/>
    </row>
    <row r="33" ht="22" customHeight="1" spans="1:6" x14ac:dyDescent="0.25">
      <c r="A33" s="13"/>
      <c r="B33" s="7"/>
      <c r="C33" s="7"/>
      <c r="D33" s="7"/>
      <c r="E33" s="7"/>
      <c r="F33" s="7"/>
    </row>
    <row r="34" ht="22" customHeight="1" spans="1:6" x14ac:dyDescent="0.25">
      <c r="A34" s="13"/>
      <c r="B34" s="7"/>
      <c r="C34" s="7"/>
      <c r="D34" s="7"/>
      <c r="E34" s="7"/>
      <c r="F34" s="7"/>
    </row>
    <row r="35" ht="22" customHeight="1" spans="1:6" x14ac:dyDescent="0.25">
      <c r="A35" s="13"/>
      <c r="B35" s="7"/>
      <c r="C35" s="7"/>
      <c r="D35" s="7"/>
      <c r="E35" s="7"/>
      <c r="F35" s="7"/>
    </row>
    <row r="36" ht="22" customHeight="1" spans="1:6" x14ac:dyDescent="0.25">
      <c r="A36" s="13"/>
      <c r="B36" s="7"/>
      <c r="C36" s="7"/>
      <c r="D36" s="7"/>
      <c r="E36" s="7"/>
      <c r="F36" s="7"/>
    </row>
    <row r="37" ht="22" customHeight="1" spans="1:6" x14ac:dyDescent="0.25">
      <c r="A37" s="13"/>
      <c r="B37" s="7"/>
      <c r="C37" s="7"/>
      <c r="D37" s="7"/>
      <c r="E37" s="7"/>
      <c r="F37" s="7"/>
    </row>
    <row r="38" ht="22" customHeight="1" spans="1:6" x14ac:dyDescent="0.25">
      <c r="A38" s="13"/>
      <c r="B38" s="7"/>
      <c r="C38" s="7"/>
      <c r="D38" s="7"/>
      <c r="E38" s="7"/>
      <c r="F38" s="7"/>
    </row>
    <row r="39" ht="22" customHeight="1" spans="1:6" x14ac:dyDescent="0.25">
      <c r="A39" s="13"/>
      <c r="B39" s="7"/>
      <c r="C39" s="7"/>
      <c r="D39" s="7"/>
      <c r="E39" s="7"/>
      <c r="F39" s="7"/>
    </row>
    <row r="40" ht="22" customHeight="1" spans="1:6" x14ac:dyDescent="0.25">
      <c r="A40" s="13"/>
      <c r="B40" s="7"/>
      <c r="C40" s="7"/>
      <c r="D40" s="7"/>
      <c r="E40" s="7"/>
      <c r="F40" s="7"/>
    </row>
    <row r="41" ht="22" customHeight="1" spans="1:6" x14ac:dyDescent="0.25">
      <c r="A41" s="13"/>
      <c r="B41" s="7"/>
      <c r="C41" s="7"/>
      <c r="D41" s="7"/>
      <c r="E41" s="7"/>
      <c r="F41" s="7"/>
    </row>
    <row r="42" ht="24" customHeight="1" spans="1:6" x14ac:dyDescent="0.25">
      <c r="A42" s="13"/>
      <c r="B42" s="7"/>
      <c r="C42" s="7"/>
      <c r="D42" s="7"/>
      <c r="E42" s="7"/>
      <c r="F42" s="7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16" customWidth="1"/>
    <col min="4" max="4" width="18" customWidth="1"/>
    <col min="5" max="5" width="14" customWidth="1"/>
    <col min="6" max="6" width="12" customWidth="1"/>
  </cols>
  <sheetData>
    <row r="1" ht="28" customHeight="1" spans="1:6" x14ac:dyDescent="0.25">
      <c r="A1" s="5" t="s">
        <v>211</v>
      </c>
      <c r="B1" s="5"/>
      <c r="C1" s="5"/>
      <c r="D1" s="5"/>
      <c r="E1" s="5"/>
      <c r="F1" s="5"/>
    </row>
    <row r="2" ht="18" customHeight="1" spans="1:6" x14ac:dyDescent="0.25">
      <c r="A2" s="6" t="s">
        <v>212</v>
      </c>
      <c r="B2" s="6"/>
      <c r="C2" s="6"/>
      <c r="D2" s="6"/>
      <c r="E2" s="6"/>
      <c r="F2" s="6"/>
    </row>
    <row r="3" ht="8" customHeight="1" x14ac:dyDescent="0.25"/>
    <row r="4" ht="26" customHeight="1" spans="1:6" x14ac:dyDescent="0.25">
      <c r="A4" s="14" t="s">
        <v>187</v>
      </c>
      <c r="B4" s="14" t="s">
        <v>213</v>
      </c>
      <c r="C4" s="14" t="s">
        <v>214</v>
      </c>
      <c r="D4" s="14" t="s">
        <v>215</v>
      </c>
      <c r="E4" s="14" t="s">
        <v>216</v>
      </c>
      <c r="F4" s="14" t="s">
        <v>217</v>
      </c>
    </row>
    <row r="5" ht="22" customHeight="1" spans="1:6" x14ac:dyDescent="0.25">
      <c r="A5" s="11" t="s">
        <v>55</v>
      </c>
      <c r="B5" s="7">
        <v>100000</v>
      </c>
      <c r="C5" s="7">
        <f>IF(B5="","",B5*12)</f>
      </c>
      <c r="D5" s="7">
        <f>SUMIFS(Movimientos!$I:$I,Movimientos!$C:$C,"Egreso",Movimientos!$E:$E,$A5)</f>
        <v>0</v>
      </c>
      <c r="E5" s="7">
        <f>IF(C5="","",C5-D5)</f>
      </c>
      <c r="F5" s="21">
        <f>IF(OR(C5="",C5=0),"",D5/C5)</f>
      </c>
    </row>
    <row r="6" ht="22" customHeight="1" spans="1:6" x14ac:dyDescent="0.25">
      <c r="A6" s="11" t="s">
        <v>63</v>
      </c>
      <c r="B6" s="7">
        <v>60000</v>
      </c>
      <c r="C6" s="7">
        <f>IF(B6="","",B6*12)</f>
      </c>
      <c r="D6" s="7">
        <f>SUMIFS(Movimientos!$I:$I,Movimientos!$C:$C,"Egreso",Movimientos!$E:$E,$A6)</f>
        <v>0</v>
      </c>
      <c r="E6" s="7">
        <f>IF(C6="","",C6-D6)</f>
      </c>
      <c r="F6" s="21">
        <f>IF(OR(C6="",C6=0),"",D6/C6)</f>
      </c>
    </row>
    <row r="7" ht="22" customHeight="1" spans="1:6" x14ac:dyDescent="0.25">
      <c r="A7" s="11" t="s">
        <v>69</v>
      </c>
      <c r="B7" s="7">
        <v>30000</v>
      </c>
      <c r="C7" s="7">
        <f>IF(B7="","",B7*12)</f>
      </c>
      <c r="D7" s="7">
        <f>SUMIFS(Movimientos!$I:$I,Movimientos!$C:$C,"Egreso",Movimientos!$E:$E,$A7)</f>
        <v>0</v>
      </c>
      <c r="E7" s="7">
        <f>IF(C7="","",C7-D7)</f>
      </c>
      <c r="F7" s="21">
        <f>IF(OR(C7="",C7=0),"",D7/C7)</f>
      </c>
    </row>
    <row r="8" ht="22" customHeight="1" spans="1:6" x14ac:dyDescent="0.25">
      <c r="A8" s="11" t="s">
        <v>75</v>
      </c>
      <c r="B8" s="7">
        <v>350000</v>
      </c>
      <c r="C8" s="7">
        <f>IF(B8="","",B8*12)</f>
      </c>
      <c r="D8" s="7">
        <f>SUMIFS(Movimientos!$I:$I,Movimientos!$C:$C,"Egreso",Movimientos!$E:$E,$A8)</f>
        <v>0</v>
      </c>
      <c r="E8" s="7">
        <f>IF(C8="","",C8-D8)</f>
      </c>
      <c r="F8" s="21">
        <f>IF(OR(C8="",C8=0),"",D8/C8)</f>
      </c>
    </row>
    <row r="9" ht="22" customHeight="1" spans="1:6" x14ac:dyDescent="0.25">
      <c r="A9" s="11" t="s">
        <v>79</v>
      </c>
      <c r="B9" s="7">
        <v>80000</v>
      </c>
      <c r="C9" s="7">
        <f>IF(B9="","",B9*12)</f>
      </c>
      <c r="D9" s="7">
        <f>SUMIFS(Movimientos!$I:$I,Movimientos!$C:$C,"Egreso",Movimientos!$E:$E,$A9)</f>
        <v>0</v>
      </c>
      <c r="E9" s="7">
        <f>IF(C9="","",C9-D9)</f>
      </c>
      <c r="F9" s="21">
        <f>IF(OR(C9="",C9=0),"",D9/C9)</f>
      </c>
    </row>
    <row r="10" ht="22" customHeight="1" spans="1:6" x14ac:dyDescent="0.25">
      <c r="A10" s="11" t="s">
        <v>83</v>
      </c>
      <c r="B10" s="7">
        <v>100000</v>
      </c>
      <c r="C10" s="7">
        <f>IF(B10="","",B10*12)</f>
      </c>
      <c r="D10" s="7">
        <f>SUMIFS(Movimientos!$I:$I,Movimientos!$C:$C,"Egreso",Movimientos!$E:$E,$A10)</f>
        <v>0</v>
      </c>
      <c r="E10" s="7">
        <f>IF(C10="","",C10-D10)</f>
      </c>
      <c r="F10" s="21">
        <f>IF(OR(C10="",C10=0),"",D10/C10)</f>
      </c>
    </row>
    <row r="11" ht="22" customHeight="1" spans="1:6" x14ac:dyDescent="0.25">
      <c r="A11" s="11" t="s">
        <v>85</v>
      </c>
      <c r="B11" s="7">
        <v>50000</v>
      </c>
      <c r="C11" s="7">
        <f>IF(B11="","",B11*12)</f>
      </c>
      <c r="D11" s="7">
        <f>SUMIFS(Movimientos!$I:$I,Movimientos!$C:$C,"Egreso",Movimientos!$E:$E,$A11)</f>
        <v>0</v>
      </c>
      <c r="E11" s="7">
        <f>IF(C11="","",C11-D11)</f>
      </c>
      <c r="F11" s="21">
        <f>IF(OR(C11="",C11=0),"",D11/C11)</f>
      </c>
    </row>
    <row r="12" ht="22" customHeight="1" spans="1:6" x14ac:dyDescent="0.25">
      <c r="A12" s="11" t="s">
        <v>86</v>
      </c>
      <c r="B12" s="7">
        <v>80000</v>
      </c>
      <c r="C12" s="7">
        <f>IF(B12="","",B12*12)</f>
      </c>
      <c r="D12" s="7">
        <f>SUMIFS(Movimientos!$I:$I,Movimientos!$C:$C,"Egreso",Movimientos!$E:$E,$A12)</f>
        <v>0</v>
      </c>
      <c r="E12" s="7">
        <f>IF(C12="","",C12-D12)</f>
      </c>
      <c r="F12" s="21">
        <f>IF(OR(C12="",C12=0),"",D12/C12)</f>
      </c>
    </row>
    <row r="13" ht="22" customHeight="1" spans="1:6" x14ac:dyDescent="0.25">
      <c r="A13" s="11" t="s">
        <v>87</v>
      </c>
      <c r="B13" s="7">
        <v>50000</v>
      </c>
      <c r="C13" s="7">
        <f>IF(B13="","",B13*12)</f>
      </c>
      <c r="D13" s="7">
        <f>SUMIFS(Movimientos!$I:$I,Movimientos!$C:$C,"Egreso",Movimientos!$E:$E,$A13)</f>
        <v>0</v>
      </c>
      <c r="E13" s="7">
        <f>IF(C13="","",C13-D13)</f>
      </c>
      <c r="F13" s="21">
        <f>IF(OR(C13="",C13=0),"",D13/C13)</f>
      </c>
    </row>
    <row r="14" ht="22" customHeight="1" spans="1:6" x14ac:dyDescent="0.25">
      <c r="A14" s="11" t="s">
        <v>88</v>
      </c>
      <c r="B14" s="7">
        <v>40000</v>
      </c>
      <c r="C14" s="7">
        <f>IF(B14="","",B14*12)</f>
      </c>
      <c r="D14" s="7">
        <f>SUMIFS(Movimientos!$I:$I,Movimientos!$C:$C,"Egreso",Movimientos!$E:$E,$A14)</f>
        <v>0</v>
      </c>
      <c r="E14" s="7">
        <f>IF(C14="","",C14-D14)</f>
      </c>
      <c r="F14" s="21">
        <f>IF(OR(C14="",C14=0),"",D14/C14)</f>
      </c>
    </row>
    <row r="15" ht="22" customHeight="1" spans="1:6" x14ac:dyDescent="0.25">
      <c r="A15" s="11" t="s">
        <v>89</v>
      </c>
      <c r="B15" s="7">
        <v>30000</v>
      </c>
      <c r="C15" s="7">
        <f>IF(B15="","",B15*12)</f>
      </c>
      <c r="D15" s="7">
        <f>SUMIFS(Movimientos!$I:$I,Movimientos!$C:$C,"Egreso",Movimientos!$E:$E,$A15)</f>
        <v>0</v>
      </c>
      <c r="E15" s="7">
        <f>IF(C15="","",C15-D15)</f>
      </c>
      <c r="F15" s="21">
        <f>IF(OR(C15="",C15=0),"",D15/C15)</f>
      </c>
    </row>
    <row r="16" ht="22" customHeight="1" spans="1:6" x14ac:dyDescent="0.25">
      <c r="A16" s="11" t="s">
        <v>90</v>
      </c>
      <c r="B16" s="7">
        <v>80000</v>
      </c>
      <c r="C16" s="7">
        <f>IF(B16="","",B16*12)</f>
      </c>
      <c r="D16" s="7">
        <f>SUMIFS(Movimientos!$I:$I,Movimientos!$C:$C,"Egreso",Movimientos!$E:$E,$A16)</f>
        <v>0</v>
      </c>
      <c r="E16" s="7">
        <f>IF(C16="","",C16-D16)</f>
      </c>
      <c r="F16" s="21">
        <f>IF(OR(C16="",C16=0),"",D16/C16)</f>
      </c>
    </row>
    <row r="17" ht="22" customHeight="1" spans="1:6" x14ac:dyDescent="0.25">
      <c r="A17" s="11" t="s">
        <v>91</v>
      </c>
      <c r="B17" s="7">
        <v>40000</v>
      </c>
      <c r="C17" s="7">
        <f>IF(B17="","",B17*12)</f>
      </c>
      <c r="D17" s="7">
        <f>SUMIFS(Movimientos!$I:$I,Movimientos!$C:$C,"Egreso",Movimientos!$E:$E,$A17)</f>
        <v>0</v>
      </c>
      <c r="E17" s="7">
        <f>IF(C17="","",C17-D17)</f>
      </c>
      <c r="F17" s="21">
        <f>IF(OR(C17="",C17=0),"",D17/C17)</f>
      </c>
    </row>
    <row r="18" ht="22" customHeight="1" spans="1:6" x14ac:dyDescent="0.25">
      <c r="A18" s="11" t="s">
        <v>92</v>
      </c>
      <c r="B18" s="7">
        <v>100000</v>
      </c>
      <c r="C18" s="7">
        <f>IF(B18="","",B18*12)</f>
      </c>
      <c r="D18" s="7">
        <f>SUMIFS(Movimientos!$I:$I,Movimientos!$C:$C,"Egreso",Movimientos!$E:$E,$A18)</f>
        <v>0</v>
      </c>
      <c r="E18" s="7">
        <f>IF(C18="","",C18-D18)</f>
      </c>
      <c r="F18" s="21">
        <f>IF(OR(C18="",C18=0),"",D18/C18)</f>
      </c>
    </row>
    <row r="19" ht="22" customHeight="1" spans="1:6" x14ac:dyDescent="0.25">
      <c r="A19" s="11" t="s">
        <v>93</v>
      </c>
      <c r="B19" s="7">
        <v>30000</v>
      </c>
      <c r="C19" s="7">
        <f>IF(B19="","",B19*12)</f>
      </c>
      <c r="D19" s="7">
        <f>SUMIFS(Movimientos!$I:$I,Movimientos!$C:$C,"Egreso",Movimientos!$E:$E,$A19)</f>
        <v>0</v>
      </c>
      <c r="E19" s="7">
        <f>IF(C19="","",C19-D19)</f>
      </c>
      <c r="F19" s="21">
        <f>IF(OR(C19="",C19=0),"",D19/C19)</f>
      </c>
    </row>
    <row r="20" ht="26" customHeight="1" spans="1:6" x14ac:dyDescent="0.25">
      <c r="A20" s="22" t="s">
        <v>218</v>
      </c>
      <c r="B20" s="15">
        <f>SUM(B5:B19)</f>
        <v>0</v>
      </c>
      <c r="C20" s="15">
        <f>SUM(C5:C19)</f>
        <v>0</v>
      </c>
      <c r="D20" s="15">
        <f>SUM(D5:D19)</f>
        <v>0</v>
      </c>
      <c r="E20" s="15">
        <f>SUM(E5:E19)</f>
        <v>0</v>
      </c>
      <c r="F20" s="23">
        <f>IF(OR(C20="",C20=0),"",D20/C20)</f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20" customWidth="1"/>
    <col min="4" max="7" width="14" customWidth="1"/>
    <col min="8" max="8" width="8" customWidth="1"/>
    <col min="9" max="9" width="13" customWidth="1"/>
    <col min="10" max="10" width="11" customWidth="1"/>
    <col min="11" max="11" width="16" customWidth="1"/>
    <col min="12" max="12" width="18" customWidth="1"/>
    <col min="13" max="13" width="10" customWidth="1"/>
    <col min="14" max="14" width="13" customWidth="1"/>
    <col min="15" max="15" width="30" customWidth="1"/>
  </cols>
  <sheetData>
    <row r="1" ht="28" customHeight="1" spans="1:15" x14ac:dyDescent="0.25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8" customHeight="1" spans="1:15" x14ac:dyDescent="0.25">
      <c r="A2" s="6" t="s">
        <v>95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8" customHeight="1" spans="1:1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26" customHeight="1" spans="1:15" x14ac:dyDescent="0.25">
      <c r="A4" s="14" t="s">
        <v>96</v>
      </c>
      <c r="B4" s="14" t="s">
        <v>97</v>
      </c>
      <c r="C4" s="14" t="s">
        <v>98</v>
      </c>
      <c r="D4" s="14" t="s">
        <v>99</v>
      </c>
      <c r="E4" s="14" t="s">
        <v>100</v>
      </c>
      <c r="F4" s="14" t="s">
        <v>101</v>
      </c>
      <c r="G4" s="14" t="s">
        <v>102</v>
      </c>
      <c r="H4" s="14" t="s">
        <v>103</v>
      </c>
      <c r="I4" s="14" t="s">
        <v>104</v>
      </c>
      <c r="J4" s="14" t="s">
        <v>105</v>
      </c>
      <c r="K4" s="14" t="s">
        <v>106</v>
      </c>
      <c r="L4" s="14" t="s">
        <v>107</v>
      </c>
      <c r="M4" s="14" t="s">
        <v>108</v>
      </c>
      <c r="N4" s="14" t="s">
        <v>109</v>
      </c>
      <c r="O4" s="14" t="s">
        <v>110</v>
      </c>
    </row>
    <row r="5" ht="22" customHeight="1" spans="1:15" x14ac:dyDescent="0.25">
      <c r="A5" s="15">
        <v>1</v>
      </c>
      <c r="B5" s="11" t="s">
        <v>111</v>
      </c>
      <c r="C5" s="11" t="s">
        <v>112</v>
      </c>
      <c r="D5" s="16">
        <v>45292</v>
      </c>
      <c r="E5" s="16"/>
      <c r="F5" s="16">
        <v>45658</v>
      </c>
      <c r="G5" s="7">
        <v>631</v>
      </c>
      <c r="H5" s="15" t="s">
        <v>58</v>
      </c>
      <c r="I5" s="15" t="s">
        <v>65</v>
      </c>
      <c r="J5" s="17">
        <v>1</v>
      </c>
      <c r="K5" s="7">
        <f>IF(G5="","",G5*J5)</f>
        <v>631</v>
      </c>
      <c r="L5" s="7">
        <f>IF(K5="","",IF(H5="USD",K5*TC,K5))</f>
      </c>
      <c r="M5" s="18">
        <v>5</v>
      </c>
      <c r="N5" s="15" t="s">
        <v>113</v>
      </c>
      <c r="O5" s="11" t="s">
        <v>114</v>
      </c>
    </row>
    <row r="6" ht="22" customHeight="1" spans="1:15" x14ac:dyDescent="0.25">
      <c r="A6" s="15">
        <v>2</v>
      </c>
      <c r="B6" s="11" t="s">
        <v>115</v>
      </c>
      <c r="C6" s="11" t="s">
        <v>116</v>
      </c>
      <c r="D6" s="16">
        <v>45323</v>
      </c>
      <c r="E6" s="16"/>
      <c r="F6" s="16">
        <v>45689</v>
      </c>
      <c r="G6" s="7">
        <v>382000</v>
      </c>
      <c r="H6" s="15" t="s">
        <v>50</v>
      </c>
      <c r="I6" s="15" t="s">
        <v>65</v>
      </c>
      <c r="J6" s="17">
        <v>1</v>
      </c>
      <c r="K6" s="7">
        <f>IF(G6="","",G6*J6)</f>
        <v>382000</v>
      </c>
      <c r="L6" s="7">
        <f>IF(K6="","",IF(H6="USD",K6*TC,K6))</f>
      </c>
      <c r="M6" s="18">
        <v>1</v>
      </c>
      <c r="N6" s="15" t="s">
        <v>113</v>
      </c>
      <c r="O6" s="11" t="s">
        <v>114</v>
      </c>
    </row>
    <row r="7" ht="22" customHeight="1" spans="1:15" x14ac:dyDescent="0.25">
      <c r="A7" s="15">
        <v>3</v>
      </c>
      <c r="B7" s="11" t="s">
        <v>117</v>
      </c>
      <c r="C7" s="11" t="s">
        <v>118</v>
      </c>
      <c r="D7" s="16">
        <v>45352</v>
      </c>
      <c r="E7" s="16"/>
      <c r="F7" s="16">
        <v>45717</v>
      </c>
      <c r="G7" s="7">
        <v>204000</v>
      </c>
      <c r="H7" s="15" t="s">
        <v>50</v>
      </c>
      <c r="I7" s="15" t="s">
        <v>65</v>
      </c>
      <c r="J7" s="17">
        <v>1</v>
      </c>
      <c r="K7" s="7">
        <f>IF(G7="","",G7*J7)</f>
        <v>204000</v>
      </c>
      <c r="L7" s="7">
        <f>IF(K7="","",IF(H7="USD",K7*TC,K7))</f>
      </c>
      <c r="M7" s="18">
        <v>5</v>
      </c>
      <c r="N7" s="15" t="s">
        <v>113</v>
      </c>
      <c r="O7" s="11" t="s">
        <v>114</v>
      </c>
    </row>
    <row r="8" ht="22" customHeight="1" spans="1:15" x14ac:dyDescent="0.25">
      <c r="A8" s="15">
        <v>4</v>
      </c>
      <c r="B8" s="11" t="s">
        <v>119</v>
      </c>
      <c r="C8" s="11" t="s">
        <v>120</v>
      </c>
      <c r="D8" s="16">
        <v>45383</v>
      </c>
      <c r="E8" s="16"/>
      <c r="F8" s="16">
        <v>45748</v>
      </c>
      <c r="G8" s="7">
        <v>600000</v>
      </c>
      <c r="H8" s="15" t="s">
        <v>50</v>
      </c>
      <c r="I8" s="15" t="s">
        <v>65</v>
      </c>
      <c r="J8" s="17">
        <v>1</v>
      </c>
      <c r="K8" s="7">
        <f>IF(G8="","",G8*J8)</f>
        <v>600000</v>
      </c>
      <c r="L8" s="7">
        <f>IF(K8="","",IF(H8="USD",K8*TC,K8))</f>
      </c>
      <c r="M8" s="18">
        <v>1</v>
      </c>
      <c r="N8" s="15" t="s">
        <v>113</v>
      </c>
      <c r="O8" s="11" t="s">
        <v>114</v>
      </c>
    </row>
    <row r="9" ht="22" customHeight="1" spans="1:15" x14ac:dyDescent="0.25">
      <c r="A9" s="15">
        <v>5</v>
      </c>
      <c r="B9" s="11" t="s">
        <v>121</v>
      </c>
      <c r="C9" s="11" t="s">
        <v>122</v>
      </c>
      <c r="D9" s="16">
        <v>45413</v>
      </c>
      <c r="E9" s="16"/>
      <c r="F9" s="16">
        <v>45778</v>
      </c>
      <c r="G9" s="7">
        <v>228000</v>
      </c>
      <c r="H9" s="15" t="s">
        <v>50</v>
      </c>
      <c r="I9" s="15" t="s">
        <v>65</v>
      </c>
      <c r="J9" s="17">
        <v>1</v>
      </c>
      <c r="K9" s="7">
        <f>IF(G9="","",G9*J9)</f>
        <v>228000</v>
      </c>
      <c r="L9" s="7">
        <f>IF(K9="","",IF(H9="USD",K9*TC,K9))</f>
      </c>
      <c r="M9" s="18">
        <v>10</v>
      </c>
      <c r="N9" s="15" t="s">
        <v>113</v>
      </c>
      <c r="O9" s="11" t="s">
        <v>114</v>
      </c>
    </row>
    <row r="10" ht="22" customHeight="1" spans="1:15" x14ac:dyDescent="0.25">
      <c r="A10" s="15">
        <v>6</v>
      </c>
      <c r="B10" s="11" t="s">
        <v>123</v>
      </c>
      <c r="C10" s="11" t="s">
        <v>124</v>
      </c>
      <c r="D10" s="16">
        <v>45444</v>
      </c>
      <c r="E10" s="16"/>
      <c r="F10" s="16">
        <v>45809</v>
      </c>
      <c r="G10" s="7">
        <v>896</v>
      </c>
      <c r="H10" s="15" t="s">
        <v>58</v>
      </c>
      <c r="I10" s="15" t="s">
        <v>65</v>
      </c>
      <c r="J10" s="17">
        <v>1</v>
      </c>
      <c r="K10" s="7">
        <f>IF(G10="","",G10*J10)</f>
        <v>896</v>
      </c>
      <c r="L10" s="7">
        <f>IF(K10="","",IF(H10="USD",K10*TC,K10))</f>
      </c>
      <c r="M10" s="18">
        <v>5</v>
      </c>
      <c r="N10" s="15" t="s">
        <v>113</v>
      </c>
      <c r="O10" s="11" t="s">
        <v>114</v>
      </c>
    </row>
    <row r="11" ht="22" customHeight="1" spans="1:15" x14ac:dyDescent="0.25">
      <c r="A11" s="15">
        <v>7</v>
      </c>
      <c r="B11" s="11" t="s">
        <v>125</v>
      </c>
      <c r="C11" s="11" t="s">
        <v>126</v>
      </c>
      <c r="D11" s="16">
        <v>45474</v>
      </c>
      <c r="E11" s="16"/>
      <c r="F11" s="16">
        <v>45839</v>
      </c>
      <c r="G11" s="7">
        <v>645000</v>
      </c>
      <c r="H11" s="15" t="s">
        <v>50</v>
      </c>
      <c r="I11" s="15" t="s">
        <v>65</v>
      </c>
      <c r="J11" s="17">
        <v>1</v>
      </c>
      <c r="K11" s="7">
        <f>IF(G11="","",G11*J11)</f>
        <v>645000</v>
      </c>
      <c r="L11" s="7">
        <f>IF(K11="","",IF(H11="USD",K11*TC,K11))</f>
      </c>
      <c r="M11" s="18">
        <v>1</v>
      </c>
      <c r="N11" s="15" t="s">
        <v>113</v>
      </c>
      <c r="O11" s="11" t="s">
        <v>114</v>
      </c>
    </row>
    <row r="12" ht="22" customHeight="1" spans="1:15" x14ac:dyDescent="0.25">
      <c r="A12" s="15">
        <v>8</v>
      </c>
      <c r="B12" s="11" t="s">
        <v>127</v>
      </c>
      <c r="C12" s="11" t="s">
        <v>128</v>
      </c>
      <c r="D12" s="16">
        <v>45505</v>
      </c>
      <c r="E12" s="16"/>
      <c r="F12" s="16">
        <v>45870</v>
      </c>
      <c r="G12" s="7">
        <v>289000</v>
      </c>
      <c r="H12" s="15" t="s">
        <v>50</v>
      </c>
      <c r="I12" s="15" t="s">
        <v>65</v>
      </c>
      <c r="J12" s="17">
        <v>1</v>
      </c>
      <c r="K12" s="7">
        <f>IF(G12="","",G12*J12)</f>
        <v>289000</v>
      </c>
      <c r="L12" s="7">
        <f>IF(K12="","",IF(H12="USD",K12*TC,K12))</f>
      </c>
      <c r="M12" s="18">
        <v>5</v>
      </c>
      <c r="N12" s="15" t="s">
        <v>113</v>
      </c>
      <c r="O12" s="11" t="s">
        <v>114</v>
      </c>
    </row>
    <row r="13" ht="22" customHeight="1" spans="1:15" x14ac:dyDescent="0.25">
      <c r="A13" s="15">
        <v>9</v>
      </c>
      <c r="B13" s="11" t="s">
        <v>129</v>
      </c>
      <c r="C13" s="11" t="s">
        <v>130</v>
      </c>
      <c r="D13" s="16">
        <v>45536</v>
      </c>
      <c r="E13" s="16"/>
      <c r="F13" s="16">
        <v>45901</v>
      </c>
      <c r="G13" s="7">
        <v>224000</v>
      </c>
      <c r="H13" s="15" t="s">
        <v>50</v>
      </c>
      <c r="I13" s="15" t="s">
        <v>65</v>
      </c>
      <c r="J13" s="17">
        <v>1</v>
      </c>
      <c r="K13" s="7">
        <f>IF(G13="","",G13*J13)</f>
        <v>224000</v>
      </c>
      <c r="L13" s="7">
        <f>IF(K13="","",IF(H13="USD",K13*TC,K13))</f>
      </c>
      <c r="M13" s="18">
        <v>10</v>
      </c>
      <c r="N13" s="15" t="s">
        <v>113</v>
      </c>
      <c r="O13" s="11" t="s">
        <v>114</v>
      </c>
    </row>
    <row r="14" ht="22" customHeight="1" spans="1:15" x14ac:dyDescent="0.25">
      <c r="A14" s="15">
        <v>10</v>
      </c>
      <c r="B14" s="11" t="s">
        <v>131</v>
      </c>
      <c r="C14" s="11" t="s">
        <v>132</v>
      </c>
      <c r="D14" s="16">
        <v>45566</v>
      </c>
      <c r="E14" s="16"/>
      <c r="F14" s="16">
        <v>45931</v>
      </c>
      <c r="G14" s="7">
        <v>394000</v>
      </c>
      <c r="H14" s="15" t="s">
        <v>50</v>
      </c>
      <c r="I14" s="15" t="s">
        <v>65</v>
      </c>
      <c r="J14" s="17">
        <v>1</v>
      </c>
      <c r="K14" s="7">
        <f>IF(G14="","",G14*J14)</f>
        <v>394000</v>
      </c>
      <c r="L14" s="7">
        <f>IF(K14="","",IF(H14="USD",K14*TC,K14))</f>
      </c>
      <c r="M14" s="18">
        <v>5</v>
      </c>
      <c r="N14" s="15" t="s">
        <v>113</v>
      </c>
      <c r="O14" s="11" t="s">
        <v>114</v>
      </c>
    </row>
    <row r="15" ht="22" customHeight="1" spans="1:15" x14ac:dyDescent="0.25">
      <c r="A15" s="15">
        <v>11</v>
      </c>
      <c r="B15" s="11" t="s">
        <v>133</v>
      </c>
      <c r="C15" s="11" t="s">
        <v>134</v>
      </c>
      <c r="D15" s="16">
        <v>45597</v>
      </c>
      <c r="E15" s="16"/>
      <c r="F15" s="16">
        <v>45962</v>
      </c>
      <c r="G15" s="7">
        <v>546</v>
      </c>
      <c r="H15" s="15" t="s">
        <v>58</v>
      </c>
      <c r="I15" s="15" t="s">
        <v>65</v>
      </c>
      <c r="J15" s="17">
        <v>1</v>
      </c>
      <c r="K15" s="7">
        <f>IF(G15="","",G15*J15)</f>
        <v>546</v>
      </c>
      <c r="L15" s="7">
        <f>IF(K15="","",IF(H15="USD",K15*TC,K15))</f>
      </c>
      <c r="M15" s="18">
        <v>5</v>
      </c>
      <c r="N15" s="15" t="s">
        <v>113</v>
      </c>
      <c r="O15" s="11" t="s">
        <v>114</v>
      </c>
    </row>
    <row r="16" ht="22" customHeight="1" spans="1:15" x14ac:dyDescent="0.25">
      <c r="A16" s="15">
        <v>12</v>
      </c>
      <c r="B16" s="11" t="s">
        <v>135</v>
      </c>
      <c r="C16" s="11" t="s">
        <v>136</v>
      </c>
      <c r="D16" s="16">
        <v>45627</v>
      </c>
      <c r="E16" s="16"/>
      <c r="F16" s="16">
        <v>45992</v>
      </c>
      <c r="G16" s="7">
        <v>462000</v>
      </c>
      <c r="H16" s="15" t="s">
        <v>50</v>
      </c>
      <c r="I16" s="15" t="s">
        <v>65</v>
      </c>
      <c r="J16" s="17">
        <v>1</v>
      </c>
      <c r="K16" s="7">
        <f>IF(G16="","",G16*J16)</f>
        <v>462000</v>
      </c>
      <c r="L16" s="7">
        <f>IF(K16="","",IF(H16="USD",K16*TC,K16))</f>
      </c>
      <c r="M16" s="18">
        <v>10</v>
      </c>
      <c r="N16" s="15" t="s">
        <v>113</v>
      </c>
      <c r="O16" s="11" t="s">
        <v>114</v>
      </c>
    </row>
    <row r="17" ht="22" customHeight="1" spans="1:15" x14ac:dyDescent="0.25">
      <c r="A17" s="15">
        <v>13</v>
      </c>
      <c r="B17" s="11" t="s">
        <v>137</v>
      </c>
      <c r="C17" s="11" t="s">
        <v>138</v>
      </c>
      <c r="D17" s="16">
        <v>45292</v>
      </c>
      <c r="E17" s="16"/>
      <c r="F17" s="16">
        <v>45658</v>
      </c>
      <c r="G17" s="7">
        <v>210000</v>
      </c>
      <c r="H17" s="15" t="s">
        <v>50</v>
      </c>
      <c r="I17" s="15" t="s">
        <v>65</v>
      </c>
      <c r="J17" s="17">
        <v>1</v>
      </c>
      <c r="K17" s="7">
        <f>IF(G17="","",G17*J17)</f>
        <v>210000</v>
      </c>
      <c r="L17" s="7">
        <f>IF(K17="","",IF(H17="USD",K17*TC,K17))</f>
      </c>
      <c r="M17" s="18">
        <v>1</v>
      </c>
      <c r="N17" s="15" t="s">
        <v>113</v>
      </c>
      <c r="O17" s="11" t="s">
        <v>114</v>
      </c>
    </row>
    <row r="18" ht="22" customHeight="1" spans="1:15" x14ac:dyDescent="0.25">
      <c r="A18" s="15">
        <v>14</v>
      </c>
      <c r="B18" s="11" t="s">
        <v>139</v>
      </c>
      <c r="C18" s="11" t="s">
        <v>140</v>
      </c>
      <c r="D18" s="16">
        <v>45323</v>
      </c>
      <c r="E18" s="16"/>
      <c r="F18" s="16">
        <v>45689</v>
      </c>
      <c r="G18" s="7">
        <v>243000</v>
      </c>
      <c r="H18" s="15" t="s">
        <v>50</v>
      </c>
      <c r="I18" s="15" t="s">
        <v>65</v>
      </c>
      <c r="J18" s="17">
        <v>1</v>
      </c>
      <c r="K18" s="7">
        <f>IF(G18="","",G18*J18)</f>
        <v>243000</v>
      </c>
      <c r="L18" s="7">
        <f>IF(K18="","",IF(H18="USD",K18*TC,K18))</f>
      </c>
      <c r="M18" s="18">
        <v>5</v>
      </c>
      <c r="N18" s="15" t="s">
        <v>113</v>
      </c>
      <c r="O18" s="11" t="s">
        <v>114</v>
      </c>
    </row>
    <row r="19" ht="22" customHeight="1" spans="1:15" x14ac:dyDescent="0.25">
      <c r="A19" s="15">
        <v>15</v>
      </c>
      <c r="B19" s="11" t="s">
        <v>141</v>
      </c>
      <c r="C19" s="11" t="s">
        <v>142</v>
      </c>
      <c r="D19" s="16">
        <v>45352</v>
      </c>
      <c r="E19" s="16"/>
      <c r="F19" s="16">
        <v>45717</v>
      </c>
      <c r="G19" s="7">
        <v>502000</v>
      </c>
      <c r="H19" s="15" t="s">
        <v>50</v>
      </c>
      <c r="I19" s="15" t="s">
        <v>65</v>
      </c>
      <c r="J19" s="17">
        <v>1</v>
      </c>
      <c r="K19" s="7">
        <f>IF(G19="","",G19*J19)</f>
        <v>502000</v>
      </c>
      <c r="L19" s="7">
        <f>IF(K19="","",IF(H19="USD",K19*TC,K19))</f>
      </c>
      <c r="M19" s="18">
        <v>1</v>
      </c>
      <c r="N19" s="15" t="s">
        <v>113</v>
      </c>
      <c r="O19" s="11" t="s">
        <v>114</v>
      </c>
    </row>
    <row r="20" ht="22" customHeight="1" spans="1:15" x14ac:dyDescent="0.25">
      <c r="A20" s="15">
        <v>16</v>
      </c>
      <c r="B20" s="11" t="s">
        <v>143</v>
      </c>
      <c r="C20" s="11" t="s">
        <v>144</v>
      </c>
      <c r="D20" s="16">
        <v>45383</v>
      </c>
      <c r="E20" s="16"/>
      <c r="F20" s="16">
        <v>45748</v>
      </c>
      <c r="G20" s="7">
        <v>896</v>
      </c>
      <c r="H20" s="15" t="s">
        <v>58</v>
      </c>
      <c r="I20" s="15" t="s">
        <v>65</v>
      </c>
      <c r="J20" s="17">
        <v>1</v>
      </c>
      <c r="K20" s="7">
        <f>IF(G20="","",G20*J20)</f>
        <v>896</v>
      </c>
      <c r="L20" s="7">
        <f>IF(K20="","",IF(H20="USD",K20*TC,K20))</f>
      </c>
      <c r="M20" s="18">
        <v>5</v>
      </c>
      <c r="N20" s="15" t="s">
        <v>113</v>
      </c>
      <c r="O20" s="11" t="s">
        <v>114</v>
      </c>
    </row>
    <row r="21" ht="22" customHeight="1" spans="1:15" x14ac:dyDescent="0.25">
      <c r="A21" s="15">
        <v>17</v>
      </c>
      <c r="B21" s="11" t="s">
        <v>145</v>
      </c>
      <c r="C21" s="11" t="s">
        <v>146</v>
      </c>
      <c r="D21" s="16">
        <v>45413</v>
      </c>
      <c r="E21" s="16"/>
      <c r="F21" s="16">
        <v>45778</v>
      </c>
      <c r="G21" s="7">
        <v>475000</v>
      </c>
      <c r="H21" s="15" t="s">
        <v>50</v>
      </c>
      <c r="I21" s="15" t="s">
        <v>65</v>
      </c>
      <c r="J21" s="17">
        <v>1</v>
      </c>
      <c r="K21" s="7">
        <f>IF(G21="","",G21*J21)</f>
        <v>475000</v>
      </c>
      <c r="L21" s="7">
        <f>IF(K21="","",IF(H21="USD",K21*TC,K21))</f>
      </c>
      <c r="M21" s="18">
        <v>1</v>
      </c>
      <c r="N21" s="15" t="s">
        <v>113</v>
      </c>
      <c r="O21" s="11" t="s">
        <v>114</v>
      </c>
    </row>
    <row r="22" ht="22" customHeight="1" spans="1:15" x14ac:dyDescent="0.25">
      <c r="A22" s="15">
        <v>18</v>
      </c>
      <c r="B22" s="11" t="s">
        <v>147</v>
      </c>
      <c r="C22" s="11" t="s">
        <v>148</v>
      </c>
      <c r="D22" s="16">
        <v>45444</v>
      </c>
      <c r="E22" s="16"/>
      <c r="F22" s="16">
        <v>45809</v>
      </c>
      <c r="G22" s="7">
        <v>383000</v>
      </c>
      <c r="H22" s="15" t="s">
        <v>50</v>
      </c>
      <c r="I22" s="15" t="s">
        <v>65</v>
      </c>
      <c r="J22" s="17">
        <v>1</v>
      </c>
      <c r="K22" s="7">
        <f>IF(G22="","",G22*J22)</f>
        <v>383000</v>
      </c>
      <c r="L22" s="7">
        <f>IF(K22="","",IF(H22="USD",K22*TC,K22))</f>
      </c>
      <c r="M22" s="18">
        <v>5</v>
      </c>
      <c r="N22" s="15" t="s">
        <v>113</v>
      </c>
      <c r="O22" s="11" t="s">
        <v>114</v>
      </c>
    </row>
    <row r="23" ht="22" customHeight="1" spans="1:15" x14ac:dyDescent="0.25">
      <c r="A23" s="15">
        <v>19</v>
      </c>
      <c r="B23" s="11" t="s">
        <v>149</v>
      </c>
      <c r="C23" s="11" t="s">
        <v>150</v>
      </c>
      <c r="D23" s="16">
        <v>45474</v>
      </c>
      <c r="E23" s="16"/>
      <c r="F23" s="16">
        <v>45839</v>
      </c>
      <c r="G23" s="7">
        <v>293000</v>
      </c>
      <c r="H23" s="15" t="s">
        <v>50</v>
      </c>
      <c r="I23" s="15" t="s">
        <v>65</v>
      </c>
      <c r="J23" s="17">
        <v>1</v>
      </c>
      <c r="K23" s="7">
        <f>IF(G23="","",G23*J23)</f>
        <v>293000</v>
      </c>
      <c r="L23" s="7">
        <f>IF(K23="","",IF(H23="USD",K23*TC,K23))</f>
      </c>
      <c r="M23" s="18">
        <v>5</v>
      </c>
      <c r="N23" s="15" t="s">
        <v>113</v>
      </c>
      <c r="O23" s="11" t="s">
        <v>114</v>
      </c>
    </row>
    <row r="24" ht="22" customHeight="1" spans="1:15" x14ac:dyDescent="0.25">
      <c r="A24" s="15">
        <v>20</v>
      </c>
      <c r="B24" s="11" t="s">
        <v>151</v>
      </c>
      <c r="C24" s="11" t="s">
        <v>152</v>
      </c>
      <c r="D24" s="16">
        <v>45505</v>
      </c>
      <c r="E24" s="16"/>
      <c r="F24" s="16">
        <v>45870</v>
      </c>
      <c r="G24" s="7">
        <v>465000</v>
      </c>
      <c r="H24" s="15" t="s">
        <v>50</v>
      </c>
      <c r="I24" s="15" t="s">
        <v>65</v>
      </c>
      <c r="J24" s="17">
        <v>1</v>
      </c>
      <c r="K24" s="7">
        <f>IF(G24="","",G24*J24)</f>
        <v>465000</v>
      </c>
      <c r="L24" s="7">
        <f>IF(K24="","",IF(H24="USD",K24*TC,K24))</f>
      </c>
      <c r="M24" s="18">
        <v>5</v>
      </c>
      <c r="N24" s="15" t="s">
        <v>113</v>
      </c>
      <c r="O24" s="11" t="s">
        <v>114</v>
      </c>
    </row>
    <row r="25" ht="22" customHeight="1" spans="1:15" x14ac:dyDescent="0.25">
      <c r="A25" s="15">
        <v>21</v>
      </c>
      <c r="B25" s="11" t="s">
        <v>153</v>
      </c>
      <c r="C25" s="11" t="s">
        <v>154</v>
      </c>
      <c r="D25" s="16">
        <v>45536</v>
      </c>
      <c r="E25" s="16"/>
      <c r="F25" s="16">
        <v>45901</v>
      </c>
      <c r="G25" s="7">
        <v>596</v>
      </c>
      <c r="H25" s="15" t="s">
        <v>58</v>
      </c>
      <c r="I25" s="15" t="s">
        <v>65</v>
      </c>
      <c r="J25" s="17">
        <v>1</v>
      </c>
      <c r="K25" s="7">
        <f>IF(G25="","",G25*J25)</f>
        <v>596</v>
      </c>
      <c r="L25" s="7">
        <f>IF(K25="","",IF(H25="USD",K25*TC,K25))</f>
      </c>
      <c r="M25" s="18">
        <v>10</v>
      </c>
      <c r="N25" s="15" t="s">
        <v>113</v>
      </c>
      <c r="O25" s="11" t="s">
        <v>114</v>
      </c>
    </row>
    <row r="26" ht="22" customHeight="1" spans="1:15" x14ac:dyDescent="0.25">
      <c r="A26" s="15">
        <v>22</v>
      </c>
      <c r="B26" s="11" t="s">
        <v>155</v>
      </c>
      <c r="C26" s="11" t="s">
        <v>156</v>
      </c>
      <c r="D26" s="16">
        <v>45566</v>
      </c>
      <c r="E26" s="16"/>
      <c r="F26" s="16">
        <v>45931</v>
      </c>
      <c r="G26" s="7">
        <v>253000</v>
      </c>
      <c r="H26" s="15" t="s">
        <v>50</v>
      </c>
      <c r="I26" s="15" t="s">
        <v>65</v>
      </c>
      <c r="J26" s="17">
        <v>1</v>
      </c>
      <c r="K26" s="7">
        <f>IF(G26="","",G26*J26)</f>
        <v>253000</v>
      </c>
      <c r="L26" s="7">
        <f>IF(K26="","",IF(H26="USD",K26*TC,K26))</f>
      </c>
      <c r="M26" s="18">
        <v>1</v>
      </c>
      <c r="N26" s="15" t="s">
        <v>113</v>
      </c>
      <c r="O26" s="11" t="s">
        <v>114</v>
      </c>
    </row>
    <row r="27" ht="22" customHeight="1" spans="1:15" x14ac:dyDescent="0.25">
      <c r="A27" s="15">
        <v>23</v>
      </c>
      <c r="B27" s="11" t="s">
        <v>157</v>
      </c>
      <c r="C27" s="11" t="s">
        <v>158</v>
      </c>
      <c r="D27" s="16">
        <v>45597</v>
      </c>
      <c r="E27" s="16"/>
      <c r="F27" s="16">
        <v>45962</v>
      </c>
      <c r="G27" s="7">
        <v>240000</v>
      </c>
      <c r="H27" s="15" t="s">
        <v>50</v>
      </c>
      <c r="I27" s="15" t="s">
        <v>65</v>
      </c>
      <c r="J27" s="17">
        <v>1</v>
      </c>
      <c r="K27" s="7">
        <f>IF(G27="","",G27*J27)</f>
        <v>240000</v>
      </c>
      <c r="L27" s="7">
        <f>IF(K27="","",IF(H27="USD",K27*TC,K27))</f>
      </c>
      <c r="M27" s="18">
        <v>1</v>
      </c>
      <c r="N27" s="15" t="s">
        <v>113</v>
      </c>
      <c r="O27" s="11" t="s">
        <v>114</v>
      </c>
    </row>
    <row r="28" ht="22" customHeight="1" spans="1:15" x14ac:dyDescent="0.25">
      <c r="A28" s="15">
        <v>24</v>
      </c>
      <c r="B28" s="11" t="s">
        <v>159</v>
      </c>
      <c r="C28" s="11" t="s">
        <v>160</v>
      </c>
      <c r="D28" s="16">
        <v>45627</v>
      </c>
      <c r="E28" s="16"/>
      <c r="F28" s="16">
        <v>45992</v>
      </c>
      <c r="G28" s="7">
        <v>337000</v>
      </c>
      <c r="H28" s="15" t="s">
        <v>50</v>
      </c>
      <c r="I28" s="15" t="s">
        <v>65</v>
      </c>
      <c r="J28" s="17">
        <v>1</v>
      </c>
      <c r="K28" s="7">
        <f>IF(G28="","",G28*J28)</f>
        <v>337000</v>
      </c>
      <c r="L28" s="7">
        <f>IF(K28="","",IF(H28="USD",K28*TC,K28))</f>
      </c>
      <c r="M28" s="18">
        <v>1</v>
      </c>
      <c r="N28" s="15" t="s">
        <v>113</v>
      </c>
      <c r="O28" s="11" t="s">
        <v>114</v>
      </c>
    </row>
    <row r="29" ht="22" customHeight="1" spans="1:15" x14ac:dyDescent="0.25">
      <c r="A29" s="15">
        <v>25</v>
      </c>
      <c r="B29" s="11" t="s">
        <v>161</v>
      </c>
      <c r="C29" s="11" t="s">
        <v>162</v>
      </c>
      <c r="D29" s="16">
        <v>45292</v>
      </c>
      <c r="E29" s="16"/>
      <c r="F29" s="16">
        <v>45658</v>
      </c>
      <c r="G29" s="7">
        <v>597000</v>
      </c>
      <c r="H29" s="15" t="s">
        <v>50</v>
      </c>
      <c r="I29" s="15" t="s">
        <v>65</v>
      </c>
      <c r="J29" s="17">
        <v>1</v>
      </c>
      <c r="K29" s="7">
        <f>IF(G29="","",G29*J29)</f>
        <v>597000</v>
      </c>
      <c r="L29" s="7">
        <f>IF(K29="","",IF(H29="USD",K29*TC,K29))</f>
      </c>
      <c r="M29" s="18">
        <v>1</v>
      </c>
      <c r="N29" s="15" t="s">
        <v>113</v>
      </c>
      <c r="O29" s="11" t="s">
        <v>114</v>
      </c>
    </row>
    <row r="30" ht="22" customHeight="1" spans="1:15" x14ac:dyDescent="0.25">
      <c r="A30" s="15">
        <v>26</v>
      </c>
      <c r="B30" s="11" t="s">
        <v>163</v>
      </c>
      <c r="C30" s="11" t="s">
        <v>164</v>
      </c>
      <c r="D30" s="16">
        <v>45323</v>
      </c>
      <c r="E30" s="16"/>
      <c r="F30" s="16">
        <v>45689</v>
      </c>
      <c r="G30" s="7">
        <v>485</v>
      </c>
      <c r="H30" s="15" t="s">
        <v>58</v>
      </c>
      <c r="I30" s="15" t="s">
        <v>65</v>
      </c>
      <c r="J30" s="17">
        <v>1</v>
      </c>
      <c r="K30" s="7">
        <f>IF(G30="","",G30*J30)</f>
        <v>485</v>
      </c>
      <c r="L30" s="7">
        <f>IF(K30="","",IF(H30="USD",K30*TC,K30))</f>
      </c>
      <c r="M30" s="18">
        <v>5</v>
      </c>
      <c r="N30" s="15" t="s">
        <v>113</v>
      </c>
      <c r="O30" s="11" t="s">
        <v>114</v>
      </c>
    </row>
    <row r="31" ht="22" customHeight="1" spans="1:15" x14ac:dyDescent="0.25">
      <c r="A31" s="15">
        <v>27</v>
      </c>
      <c r="B31" s="11" t="s">
        <v>165</v>
      </c>
      <c r="C31" s="11" t="s">
        <v>166</v>
      </c>
      <c r="D31" s="16">
        <v>45352</v>
      </c>
      <c r="E31" s="16"/>
      <c r="F31" s="16">
        <v>45717</v>
      </c>
      <c r="G31" s="7">
        <v>477000</v>
      </c>
      <c r="H31" s="15" t="s">
        <v>50</v>
      </c>
      <c r="I31" s="15" t="s">
        <v>65</v>
      </c>
      <c r="J31" s="17">
        <v>1</v>
      </c>
      <c r="K31" s="7">
        <f>IF(G31="","",G31*J31)</f>
        <v>477000</v>
      </c>
      <c r="L31" s="7">
        <f>IF(K31="","",IF(H31="USD",K31*TC,K31))</f>
      </c>
      <c r="M31" s="18">
        <v>1</v>
      </c>
      <c r="N31" s="15" t="s">
        <v>113</v>
      </c>
      <c r="O31" s="11" t="s">
        <v>114</v>
      </c>
    </row>
    <row r="32" ht="22" customHeight="1" spans="1:15" x14ac:dyDescent="0.25">
      <c r="A32" s="15">
        <v>28</v>
      </c>
      <c r="B32" s="11" t="s">
        <v>167</v>
      </c>
      <c r="C32" s="11" t="s">
        <v>168</v>
      </c>
      <c r="D32" s="16">
        <v>45383</v>
      </c>
      <c r="E32" s="16"/>
      <c r="F32" s="16">
        <v>45748</v>
      </c>
      <c r="G32" s="7">
        <v>507000</v>
      </c>
      <c r="H32" s="15" t="s">
        <v>50</v>
      </c>
      <c r="I32" s="15" t="s">
        <v>65</v>
      </c>
      <c r="J32" s="17">
        <v>1</v>
      </c>
      <c r="K32" s="7">
        <f>IF(G32="","",G32*J32)</f>
        <v>507000</v>
      </c>
      <c r="L32" s="7">
        <f>IF(K32="","",IF(H32="USD",K32*TC,K32))</f>
      </c>
      <c r="M32" s="18">
        <v>5</v>
      </c>
      <c r="N32" s="15" t="s">
        <v>113</v>
      </c>
      <c r="O32" s="11" t="s">
        <v>114</v>
      </c>
    </row>
    <row r="33" ht="22" customHeight="1" spans="1:15" x14ac:dyDescent="0.25">
      <c r="A33" s="15">
        <v>29</v>
      </c>
      <c r="B33" s="11" t="s">
        <v>169</v>
      </c>
      <c r="C33" s="11" t="s">
        <v>170</v>
      </c>
      <c r="D33" s="16">
        <v>45413</v>
      </c>
      <c r="E33" s="16"/>
      <c r="F33" s="16">
        <v>45778</v>
      </c>
      <c r="G33" s="7">
        <v>370000</v>
      </c>
      <c r="H33" s="15" t="s">
        <v>50</v>
      </c>
      <c r="I33" s="15" t="s">
        <v>65</v>
      </c>
      <c r="J33" s="17">
        <v>1</v>
      </c>
      <c r="K33" s="7">
        <f>IF(G33="","",G33*J33)</f>
        <v>370000</v>
      </c>
      <c r="L33" s="7">
        <f>IF(K33="","",IF(H33="USD",K33*TC,K33))</f>
      </c>
      <c r="M33" s="18">
        <v>5</v>
      </c>
      <c r="N33" s="15" t="s">
        <v>113</v>
      </c>
      <c r="O33" s="11" t="s">
        <v>114</v>
      </c>
    </row>
  </sheetData>
  <mergeCells count="2">
    <mergeCell ref="A1:O1"/>
    <mergeCell ref="A2:O2"/>
  </mergeCells>
  <dataValidations count="6">
    <dataValidation type="list" sqref="H10:H33">
      <formula1>"ARS,USD"</formula1>
    </dataValidation>
    <dataValidation type="list" sqref="H5:H33">
      <formula1>"ARS,USD"</formula1>
    </dataValidation>
    <dataValidation type="list" sqref="I10:I33">
      <formula1>"Mensual,Trimestral,Semestral,Anual"</formula1>
    </dataValidation>
    <dataValidation type="list" sqref="I5:I33">
      <formula1>"Mensual,Trimestral,Semestral,Anual"</formula1>
    </dataValidation>
    <dataValidation type="list" allowBlank="1" sqref="N10:N33">
      <formula1>"Activo,Pausado,Vencido"</formula1>
    </dataValidation>
    <dataValidation type="list" allowBlank="1" sqref="N5:N33">
      <formula1>"Activo,Pausado,Vencido"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405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0"/>
  <cols>
    <col min="1" max="1" width="14" customWidth="1"/>
    <col min="2" max="2" width="8" customWidth="1"/>
    <col min="3" max="3" width="22" customWidth="1"/>
    <col min="4" max="4" width="7" customWidth="1"/>
    <col min="5" max="5" width="16" customWidth="1"/>
    <col min="6" max="6" width="14" customWidth="1"/>
    <col min="8" max="8" width="16" customWidth="1"/>
    <col min="9" max="9" width="14" customWidth="1"/>
    <col min="10" max="10" width="16" customWidth="1"/>
    <col min="11" max="11" width="12" customWidth="1"/>
    <col min="12" max="12" width="26" customWidth="1"/>
  </cols>
  <sheetData>
    <row r="1" ht="28" customHeight="1" spans="1:12" x14ac:dyDescent="0.25">
      <c r="A1" s="5" t="s">
        <v>171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18" customHeight="1" spans="1:12" x14ac:dyDescent="0.25">
      <c r="A2" s="6" t="s">
        <v>172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26" customHeight="1" spans="1:12" x14ac:dyDescent="0.25">
      <c r="A4" s="11" t="s">
        <v>173</v>
      </c>
      <c r="B4" s="11" t="s">
        <v>174</v>
      </c>
      <c r="C4" s="11" t="s">
        <v>97</v>
      </c>
      <c r="D4" s="11" t="s">
        <v>175</v>
      </c>
      <c r="E4" s="11" t="s">
        <v>176</v>
      </c>
      <c r="F4" s="11" t="s">
        <v>177</v>
      </c>
      <c r="G4" s="11" t="s">
        <v>103</v>
      </c>
      <c r="H4" s="11" t="s">
        <v>178</v>
      </c>
      <c r="I4" s="11" t="s">
        <v>179</v>
      </c>
      <c r="J4" s="11" t="s">
        <v>180</v>
      </c>
      <c r="K4" s="11" t="s">
        <v>109</v>
      </c>
      <c r="L4" s="11" t="s">
        <v>110</v>
      </c>
    </row>
    <row r="5" ht="22" customHeight="1" spans="1:12" x14ac:dyDescent="0.25">
      <c r="A5" s="16">
        <v>46164.125</v>
      </c>
      <c r="B5" s="11"/>
      <c r="C5" s="11">
        <f>IF($B5="","",IFERROR(VLOOKUP($B5,Inquilinos!$A:$B,2,0),"ID inexistente"))</f>
      </c>
      <c r="D5" s="15">
        <f>IF($A5="","",MONTH($A5))</f>
      </c>
      <c r="E5" s="11"/>
      <c r="F5" s="7">
        <v>500000</v>
      </c>
      <c r="G5" s="15" t="s">
        <v>50</v>
      </c>
      <c r="H5" s="15">
        <f>IF($F5="","",IF($G5="USD",$F5*TC,$F5))</f>
      </c>
      <c r="I5" s="19">
        <f>IF($F5="","",IF($G5="USD",$F5,$F5/TC))</f>
      </c>
      <c r="J5" s="11"/>
      <c r="K5" s="11" t="s">
        <v>54</v>
      </c>
      <c r="L5" s="11"/>
    </row>
    <row r="6" ht="22" customHeight="1" spans="1:12" x14ac:dyDescent="0.25">
      <c r="A6" s="16">
        <v>46167.01505461805</v>
      </c>
      <c r="B6" s="11"/>
      <c r="C6" s="11"/>
      <c r="D6" s="15">
        <f>IF($A6="","",MONTH($A6))</f>
        <v>5</v>
      </c>
      <c r="E6" s="11"/>
      <c r="F6" s="7">
        <v>300000</v>
      </c>
      <c r="G6" s="15" t="s">
        <v>50</v>
      </c>
      <c r="H6" s="15">
        <f>IF($F6="","",IF($G6="USD",$F6*TC,$F6))</f>
        <v>300000</v>
      </c>
      <c r="I6" s="19">
        <f>IF($F6="","",IF($G6="USD",$F6,$F6/TC))</f>
        <v>261</v>
      </c>
      <c r="J6" s="11"/>
      <c r="K6" s="11" t="s">
        <v>54</v>
      </c>
      <c r="L6" s="11"/>
    </row>
    <row r="7" ht="22" customHeight="1" spans="1:12" x14ac:dyDescent="0.25">
      <c r="A7" s="16"/>
      <c r="B7" s="11"/>
      <c r="C7" s="11">
        <f>IF($B7="","",IFERROR(VLOOKUP($B7,Inquilinos!$A:$B,2,0),"ID inexistente"))</f>
      </c>
      <c r="D7" s="15">
        <f>IF($A7="","",MONTH($A7))</f>
      </c>
      <c r="E7" s="11"/>
      <c r="F7" s="7"/>
      <c r="G7" s="15"/>
      <c r="H7" s="15">
        <f>IF($F7="","",IF($G7="USD",$F7*TC,$F7))</f>
      </c>
      <c r="I7" s="19">
        <f>IF($F7="","",IF($G7="USD",$F7,$F7/TC))</f>
      </c>
      <c r="J7" s="11"/>
      <c r="K7" s="11"/>
      <c r="L7" s="11"/>
    </row>
    <row r="8" ht="22" customHeight="1" spans="1:12" x14ac:dyDescent="0.25">
      <c r="A8" s="16"/>
      <c r="B8" s="11"/>
      <c r="C8" s="11">
        <f>IF($B8="","",IFERROR(VLOOKUP($B8,Inquilinos!$A:$B,2,0),"ID inexistente"))</f>
      </c>
      <c r="D8" s="15">
        <f>IF($A8="","",MONTH($A8))</f>
      </c>
      <c r="E8" s="11"/>
      <c r="F8" s="7"/>
      <c r="G8" s="15"/>
      <c r="H8" s="15">
        <f>IF($F8="","",IF($G8="USD",$F8*TC,$F8))</f>
      </c>
      <c r="I8" s="19">
        <f>IF($F8="","",IF($G8="USD",$F8,$F8/TC))</f>
      </c>
      <c r="J8" s="11"/>
      <c r="K8" s="11"/>
      <c r="L8" s="11"/>
    </row>
    <row r="9" ht="22" customHeight="1" spans="1:12" x14ac:dyDescent="0.25">
      <c r="A9" s="16"/>
      <c r="B9" s="11"/>
      <c r="C9" s="11">
        <f>IF($B9="","",IFERROR(VLOOKUP($B9,Inquilinos!$A:$B,2,0),"ID inexistente"))</f>
      </c>
      <c r="D9" s="15">
        <f>IF($A9="","",MONTH($A9))</f>
      </c>
      <c r="E9" s="11"/>
      <c r="F9" s="7"/>
      <c r="G9" s="15"/>
      <c r="H9" s="15">
        <f>IF($F9="","",IF($G9="USD",$F9*TC,$F9))</f>
      </c>
      <c r="I9" s="19">
        <f>IF($F9="","",IF($G9="USD",$F9,$F9/TC))</f>
      </c>
      <c r="J9" s="11"/>
      <c r="K9" s="11"/>
      <c r="L9" s="11"/>
    </row>
    <row r="10" ht="22" customHeight="1" spans="1:12" x14ac:dyDescent="0.25">
      <c r="A10" s="16"/>
      <c r="B10" s="11"/>
      <c r="C10" s="11">
        <f>IF($B10="","",IFERROR(VLOOKUP($B10,Inquilinos!$A:$B,2,0),"ID inexistente"))</f>
      </c>
      <c r="D10" s="15">
        <f>IF($A10="","",MONTH($A10))</f>
      </c>
      <c r="E10" s="11"/>
      <c r="F10" s="7"/>
      <c r="G10" s="15"/>
      <c r="H10" s="15">
        <f>IF($F10="","",IF($G10="USD",$F10*TC,$F10))</f>
      </c>
      <c r="I10" s="19">
        <f>IF($F10="","",IF($G10="USD",$F10,$F10/TC))</f>
      </c>
      <c r="J10" s="11"/>
      <c r="K10" s="11"/>
      <c r="L10" s="11"/>
    </row>
    <row r="11" ht="22" customHeight="1" spans="1:12" x14ac:dyDescent="0.25">
      <c r="A11" s="16"/>
      <c r="B11" s="11"/>
      <c r="C11" s="11">
        <f>IF($B11="","",IFERROR(VLOOKUP($B11,Inquilinos!$A:$B,2,0),"ID inexistente"))</f>
      </c>
      <c r="D11" s="15">
        <f>IF($A11="","",MONTH($A11))</f>
      </c>
      <c r="E11" s="11"/>
      <c r="F11" s="7"/>
      <c r="G11" s="15"/>
      <c r="H11" s="15">
        <f>IF($F11="","",IF($G11="USD",$F11*TC,$F11))</f>
      </c>
      <c r="I11" s="19">
        <f>IF($F11="","",IF($G11="USD",$F11,$F11/TC))</f>
      </c>
      <c r="J11" s="11"/>
      <c r="K11" s="11"/>
      <c r="L11" s="11"/>
    </row>
    <row r="12" ht="22" customHeight="1" spans="1:12" x14ac:dyDescent="0.25">
      <c r="A12" s="16"/>
      <c r="B12" s="11"/>
      <c r="C12" s="11">
        <f>IF($B12="","",IFERROR(VLOOKUP($B12,Inquilinos!$A:$B,2,0),"ID inexistente"))</f>
      </c>
      <c r="D12" s="15">
        <f>IF($A12="","",MONTH($A12))</f>
      </c>
      <c r="E12" s="11"/>
      <c r="F12" s="7"/>
      <c r="G12" s="15"/>
      <c r="H12" s="15">
        <f>IF($F12="","",IF($G12="USD",$F12*TC,$F12))</f>
      </c>
      <c r="I12" s="19">
        <f>IF($F12="","",IF($G12="USD",$F12,$F12/TC))</f>
      </c>
      <c r="J12" s="11"/>
      <c r="K12" s="11"/>
      <c r="L12" s="11"/>
    </row>
    <row r="13" ht="22" customHeight="1" spans="1:12" x14ac:dyDescent="0.25">
      <c r="A13" s="16"/>
      <c r="B13" s="11"/>
      <c r="C13" s="11">
        <f>IF($B13="","",IFERROR(VLOOKUP($B13,Inquilinos!$A:$B,2,0),"ID inexistente"))</f>
      </c>
      <c r="D13" s="15">
        <f>IF($A13="","",MONTH($A13))</f>
      </c>
      <c r="E13" s="11"/>
      <c r="F13" s="7"/>
      <c r="G13" s="15"/>
      <c r="H13" s="15">
        <f>IF($F13="","",IF($G13="USD",$F13*TC,$F13))</f>
      </c>
      <c r="I13" s="19">
        <f>IF($F13="","",IF($G13="USD",$F13,$F13/TC))</f>
      </c>
      <c r="J13" s="11"/>
      <c r="K13" s="11"/>
      <c r="L13" s="11"/>
    </row>
    <row r="14" ht="22" customHeight="1" spans="1:12" x14ac:dyDescent="0.25">
      <c r="A14" s="16"/>
      <c r="B14" s="11"/>
      <c r="C14" s="11">
        <f>IF($B14="","",IFERROR(VLOOKUP($B14,Inquilinos!$A:$B,2,0),"ID inexistente"))</f>
      </c>
      <c r="D14" s="15">
        <f>IF($A14="","",MONTH($A14))</f>
      </c>
      <c r="E14" s="11"/>
      <c r="F14" s="7"/>
      <c r="G14" s="15"/>
      <c r="H14" s="15">
        <f>IF($F14="","",IF($G14="USD",$F14*TC,$F14))</f>
      </c>
      <c r="I14" s="19">
        <f>IF($F14="","",IF($G14="USD",$F14,$F14/TC))</f>
      </c>
      <c r="J14" s="11"/>
      <c r="K14" s="11"/>
      <c r="L14" s="11"/>
    </row>
    <row r="15" ht="22" customHeight="1" spans="1:12" x14ac:dyDescent="0.25">
      <c r="A15" s="16"/>
      <c r="B15" s="11"/>
      <c r="C15" s="11">
        <f>IF($B15="","",IFERROR(VLOOKUP($B15,Inquilinos!$A:$B,2,0),"ID inexistente"))</f>
      </c>
      <c r="D15" s="15">
        <f>IF($A15="","",MONTH($A15))</f>
      </c>
      <c r="E15" s="11"/>
      <c r="F15" s="7"/>
      <c r="G15" s="15"/>
      <c r="H15" s="15">
        <f>IF($F15="","",IF($G15="USD",$F15*TC,$F15))</f>
      </c>
      <c r="I15" s="19">
        <f>IF($F15="","",IF($G15="USD",$F15,$F15/TC))</f>
      </c>
      <c r="J15" s="11"/>
      <c r="K15" s="11"/>
      <c r="L15" s="11"/>
    </row>
    <row r="16" ht="22" customHeight="1" spans="1:12" x14ac:dyDescent="0.25">
      <c r="A16" s="16"/>
      <c r="B16" s="11"/>
      <c r="C16" s="11">
        <f>IF($B16="","",IFERROR(VLOOKUP($B16,Inquilinos!$A:$B,2,0),"ID inexistente"))</f>
      </c>
      <c r="D16" s="15">
        <f>IF($A16="","",MONTH($A16))</f>
      </c>
      <c r="E16" s="11"/>
      <c r="F16" s="7"/>
      <c r="G16" s="15"/>
      <c r="H16" s="15">
        <f>IF($F16="","",IF($G16="USD",$F16*TC,$F16))</f>
      </c>
      <c r="I16" s="19">
        <f>IF($F16="","",IF($G16="USD",$F16,$F16/TC))</f>
      </c>
      <c r="J16" s="11"/>
      <c r="K16" s="11"/>
      <c r="L16" s="11"/>
    </row>
    <row r="17" ht="22" customHeight="1" spans="1:12" x14ac:dyDescent="0.25">
      <c r="A17" s="16"/>
      <c r="B17" s="11"/>
      <c r="C17" s="11">
        <f>IF($B17="","",IFERROR(VLOOKUP($B17,Inquilinos!$A:$B,2,0),"ID inexistente"))</f>
      </c>
      <c r="D17" s="15">
        <f>IF($A17="","",MONTH($A17))</f>
      </c>
      <c r="E17" s="11"/>
      <c r="F17" s="7"/>
      <c r="G17" s="15"/>
      <c r="H17" s="15">
        <f>IF($F17="","",IF($G17="USD",$F17*TC,$F17))</f>
      </c>
      <c r="I17" s="19">
        <f>IF($F17="","",IF($G17="USD",$F17,$F17/TC))</f>
      </c>
      <c r="J17" s="11"/>
      <c r="K17" s="11"/>
      <c r="L17" s="11"/>
    </row>
    <row r="18" ht="22" customHeight="1" spans="1:12" x14ac:dyDescent="0.25">
      <c r="A18" s="16"/>
      <c r="B18" s="11"/>
      <c r="C18" s="11">
        <f>IF($B18="","",IFERROR(VLOOKUP($B18,Inquilinos!$A:$B,2,0),"ID inexistente"))</f>
      </c>
      <c r="D18" s="15">
        <f>IF($A18="","",MONTH($A18))</f>
      </c>
      <c r="E18" s="11"/>
      <c r="F18" s="7"/>
      <c r="G18" s="15"/>
      <c r="H18" s="15">
        <f>IF($F18="","",IF($G18="USD",$F18*TC,$F18))</f>
      </c>
      <c r="I18" s="19">
        <f>IF($F18="","",IF($G18="USD",$F18,$F18/TC))</f>
      </c>
      <c r="J18" s="11"/>
      <c r="K18" s="11"/>
      <c r="L18" s="11"/>
    </row>
    <row r="19" ht="22" customHeight="1" spans="1:12" x14ac:dyDescent="0.25">
      <c r="A19" s="16"/>
      <c r="B19" s="11"/>
      <c r="C19" s="11">
        <f>IF($B19="","",IFERROR(VLOOKUP($B19,Inquilinos!$A:$B,2,0),"ID inexistente"))</f>
      </c>
      <c r="D19" s="15">
        <f>IF($A19="","",MONTH($A19))</f>
      </c>
      <c r="E19" s="11"/>
      <c r="F19" s="7"/>
      <c r="G19" s="15"/>
      <c r="H19" s="15">
        <f>IF($F19="","",IF($G19="USD",$F19*TC,$F19))</f>
      </c>
      <c r="I19" s="19">
        <f>IF($F19="","",IF($G19="USD",$F19,$F19/TC))</f>
      </c>
      <c r="J19" s="11"/>
      <c r="K19" s="11"/>
      <c r="L19" s="11"/>
    </row>
    <row r="20" ht="22" customHeight="1" spans="1:12" x14ac:dyDescent="0.25">
      <c r="A20" s="16"/>
      <c r="B20" s="11"/>
      <c r="C20" s="11">
        <f>IF($B20="","",IFERROR(VLOOKUP($B20,Inquilinos!$A:$B,2,0),"ID inexistente"))</f>
      </c>
      <c r="D20" s="15">
        <f>IF($A20="","",MONTH($A20))</f>
      </c>
      <c r="E20" s="11"/>
      <c r="F20" s="7"/>
      <c r="G20" s="15"/>
      <c r="H20" s="15">
        <f>IF($F20="","",IF($G20="USD",$F20*TC,$F20))</f>
      </c>
      <c r="I20" s="19">
        <f>IF($F20="","",IF($G20="USD",$F20,$F20/TC))</f>
      </c>
      <c r="J20" s="11"/>
      <c r="K20" s="11"/>
      <c r="L20" s="11"/>
    </row>
    <row r="21" ht="22" customHeight="1" spans="1:12" x14ac:dyDescent="0.25">
      <c r="A21" s="16"/>
      <c r="B21" s="11"/>
      <c r="C21" s="11">
        <f>IF($B21="","",IFERROR(VLOOKUP($B21,Inquilinos!$A:$B,2,0),"ID inexistente"))</f>
      </c>
      <c r="D21" s="15">
        <f>IF($A21="","",MONTH($A21))</f>
      </c>
      <c r="E21" s="11"/>
      <c r="F21" s="7"/>
      <c r="G21" s="15"/>
      <c r="H21" s="15">
        <f>IF($F21="","",IF($G21="USD",$F21*TC,$F21))</f>
      </c>
      <c r="I21" s="19">
        <f>IF($F21="","",IF($G21="USD",$F21,$F21/TC))</f>
      </c>
      <c r="J21" s="11"/>
      <c r="K21" s="11"/>
      <c r="L21" s="11"/>
    </row>
    <row r="22" ht="22" customHeight="1" spans="1:12" x14ac:dyDescent="0.25">
      <c r="A22" s="16"/>
      <c r="B22" s="11"/>
      <c r="C22" s="11">
        <f>IF($B22="","",IFERROR(VLOOKUP($B22,Inquilinos!$A:$B,2,0),"ID inexistente"))</f>
      </c>
      <c r="D22" s="15">
        <f>IF($A22="","",MONTH($A22))</f>
      </c>
      <c r="E22" s="11"/>
      <c r="F22" s="7"/>
      <c r="G22" s="15"/>
      <c r="H22" s="15">
        <f>IF($F22="","",IF($G22="USD",$F22*TC,$F22))</f>
      </c>
      <c r="I22" s="19">
        <f>IF($F22="","",IF($G22="USD",$F22,$F22/TC))</f>
      </c>
      <c r="J22" s="11"/>
      <c r="K22" s="11"/>
      <c r="L22" s="11"/>
    </row>
    <row r="23" ht="22" customHeight="1" spans="1:12" x14ac:dyDescent="0.25">
      <c r="A23" s="16"/>
      <c r="B23" s="11"/>
      <c r="C23" s="11">
        <f>IF($B23="","",IFERROR(VLOOKUP($B23,Inquilinos!$A:$B,2,0),"ID inexistente"))</f>
      </c>
      <c r="D23" s="15">
        <f>IF($A23="","",MONTH($A23))</f>
      </c>
      <c r="E23" s="11"/>
      <c r="F23" s="7"/>
      <c r="G23" s="15"/>
      <c r="H23" s="15">
        <f>IF($F23="","",IF($G23="USD",$F23*TC,$F23))</f>
      </c>
      <c r="I23" s="19">
        <f>IF($F23="","",IF($G23="USD",$F23,$F23/TC))</f>
      </c>
      <c r="J23" s="11"/>
      <c r="K23" s="11"/>
      <c r="L23" s="11"/>
    </row>
    <row r="24" ht="22" customHeight="1" spans="1:12" x14ac:dyDescent="0.25">
      <c r="A24" s="16"/>
      <c r="B24" s="11"/>
      <c r="C24" s="11">
        <f>IF($B24="","",IFERROR(VLOOKUP($B24,Inquilinos!$A:$B,2,0),"ID inexistente"))</f>
      </c>
      <c r="D24" s="15">
        <f>IF($A24="","",MONTH($A24))</f>
      </c>
      <c r="E24" s="11"/>
      <c r="F24" s="7"/>
      <c r="G24" s="15"/>
      <c r="H24" s="15">
        <f>IF($F24="","",IF($G24="USD",$F24*TC,$F24))</f>
      </c>
      <c r="I24" s="19">
        <f>IF($F24="","",IF($G24="USD",$F24,$F24/TC))</f>
      </c>
      <c r="J24" s="11"/>
      <c r="K24" s="11"/>
      <c r="L24" s="11"/>
    </row>
    <row r="25" ht="22" customHeight="1" spans="1:12" x14ac:dyDescent="0.25">
      <c r="A25" s="16"/>
      <c r="B25" s="11"/>
      <c r="C25" s="11">
        <f>IF($B25="","",IFERROR(VLOOKUP($B25,Inquilinos!$A:$B,2,0),"ID inexistente"))</f>
      </c>
      <c r="D25" s="15">
        <f>IF($A25="","",MONTH($A25))</f>
      </c>
      <c r="E25" s="11"/>
      <c r="F25" s="7"/>
      <c r="G25" s="15"/>
      <c r="H25" s="15">
        <f>IF($F25="","",IF($G25="USD",$F25*TC,$F25))</f>
      </c>
      <c r="I25" s="19">
        <f>IF($F25="","",IF($G25="USD",$F25,$F25/TC))</f>
      </c>
      <c r="J25" s="11"/>
      <c r="K25" s="11"/>
      <c r="L25" s="11"/>
    </row>
    <row r="26" ht="22" customHeight="1" spans="1:12" x14ac:dyDescent="0.25">
      <c r="A26" s="16"/>
      <c r="B26" s="11"/>
      <c r="C26" s="11">
        <f>IF($B26="","",IFERROR(VLOOKUP($B26,Inquilinos!$A:$B,2,0),"ID inexistente"))</f>
      </c>
      <c r="D26" s="15">
        <f>IF($A26="","",MONTH($A26))</f>
      </c>
      <c r="E26" s="11"/>
      <c r="F26" s="7"/>
      <c r="G26" s="15"/>
      <c r="H26" s="15">
        <f>IF($F26="","",IF($G26="USD",$F26*TC,$F26))</f>
      </c>
      <c r="I26" s="19">
        <f>IF($F26="","",IF($G26="USD",$F26,$F26/TC))</f>
      </c>
      <c r="J26" s="11"/>
      <c r="K26" s="11"/>
      <c r="L26" s="11"/>
    </row>
    <row r="27" ht="22" customHeight="1" spans="1:12" x14ac:dyDescent="0.25">
      <c r="A27" s="16"/>
      <c r="B27" s="11"/>
      <c r="C27" s="11">
        <f>IF($B27="","",IFERROR(VLOOKUP($B27,Inquilinos!$A:$B,2,0),"ID inexistente"))</f>
      </c>
      <c r="D27" s="15">
        <f>IF($A27="","",MONTH($A27))</f>
      </c>
      <c r="E27" s="11"/>
      <c r="F27" s="7"/>
      <c r="G27" s="15"/>
      <c r="H27" s="15">
        <f>IF($F27="","",IF($G27="USD",$F27*TC,$F27))</f>
      </c>
      <c r="I27" s="19">
        <f>IF($F27="","",IF($G27="USD",$F27,$F27/TC))</f>
      </c>
      <c r="J27" s="11"/>
      <c r="K27" s="11"/>
      <c r="L27" s="11"/>
    </row>
    <row r="28" ht="22" customHeight="1" spans="1:12" x14ac:dyDescent="0.25">
      <c r="A28" s="16"/>
      <c r="B28" s="11"/>
      <c r="C28" s="11">
        <f>IF($B28="","",IFERROR(VLOOKUP($B28,Inquilinos!$A:$B,2,0),"ID inexistente"))</f>
      </c>
      <c r="D28" s="15">
        <f>IF($A28="","",MONTH($A28))</f>
      </c>
      <c r="E28" s="11"/>
      <c r="F28" s="7"/>
      <c r="G28" s="15"/>
      <c r="H28" s="15">
        <f>IF($F28="","",IF($G28="USD",$F28*TC,$F28))</f>
      </c>
      <c r="I28" s="19">
        <f>IF($F28="","",IF($G28="USD",$F28,$F28/TC))</f>
      </c>
      <c r="J28" s="11"/>
      <c r="K28" s="11"/>
      <c r="L28" s="11"/>
    </row>
    <row r="29" ht="22" customHeight="1" spans="1:12" x14ac:dyDescent="0.25">
      <c r="A29" s="16"/>
      <c r="B29" s="11"/>
      <c r="C29" s="11">
        <f>IF($B29="","",IFERROR(VLOOKUP($B29,Inquilinos!$A:$B,2,0),"ID inexistente"))</f>
      </c>
      <c r="D29" s="15">
        <f>IF($A29="","",MONTH($A29))</f>
      </c>
      <c r="E29" s="11"/>
      <c r="F29" s="7"/>
      <c r="G29" s="15"/>
      <c r="H29" s="15">
        <f>IF($F29="","",IF($G29="USD",$F29*TC,$F29))</f>
      </c>
      <c r="I29" s="19">
        <f>IF($F29="","",IF($G29="USD",$F29,$F29/TC))</f>
      </c>
      <c r="J29" s="11"/>
      <c r="K29" s="11"/>
      <c r="L29" s="11"/>
    </row>
    <row r="30" ht="22" customHeight="1" spans="1:12" x14ac:dyDescent="0.25">
      <c r="A30" s="16"/>
      <c r="B30" s="11"/>
      <c r="C30" s="11">
        <f>IF($B30="","",IFERROR(VLOOKUP($B30,Inquilinos!$A:$B,2,0),"ID inexistente"))</f>
      </c>
      <c r="D30" s="15">
        <f>IF($A30="","",MONTH($A30))</f>
      </c>
      <c r="E30" s="11"/>
      <c r="F30" s="7"/>
      <c r="G30" s="15"/>
      <c r="H30" s="15">
        <f>IF($F30="","",IF($G30="USD",$F30*TC,$F30))</f>
      </c>
      <c r="I30" s="19">
        <f>IF($F30="","",IF($G30="USD",$F30,$F30/TC))</f>
      </c>
      <c r="J30" s="11"/>
      <c r="K30" s="11"/>
      <c r="L30" s="11"/>
    </row>
    <row r="31" ht="22" customHeight="1" spans="1:12" x14ac:dyDescent="0.25">
      <c r="A31" s="16"/>
      <c r="B31" s="11"/>
      <c r="C31" s="11">
        <f>IF($B31="","",IFERROR(VLOOKUP($B31,Inquilinos!$A:$B,2,0),"ID inexistente"))</f>
      </c>
      <c r="D31" s="15">
        <f>IF($A31="","",MONTH($A31))</f>
      </c>
      <c r="E31" s="11"/>
      <c r="F31" s="7"/>
      <c r="G31" s="15"/>
      <c r="H31" s="15">
        <f>IF($F31="","",IF($G31="USD",$F31*TC,$F31))</f>
      </c>
      <c r="I31" s="19">
        <f>IF($F31="","",IF($G31="USD",$F31,$F31/TC))</f>
      </c>
      <c r="J31" s="11"/>
      <c r="K31" s="11"/>
      <c r="L31" s="11"/>
    </row>
    <row r="32" ht="22" customHeight="1" spans="1:12" x14ac:dyDescent="0.25">
      <c r="A32" s="16"/>
      <c r="B32" s="11"/>
      <c r="C32" s="11">
        <f>IF($B32="","",IFERROR(VLOOKUP($B32,Inquilinos!$A:$B,2,0),"ID inexistente"))</f>
      </c>
      <c r="D32" s="15">
        <f>IF($A32="","",MONTH($A32))</f>
      </c>
      <c r="E32" s="11"/>
      <c r="F32" s="7"/>
      <c r="G32" s="15"/>
      <c r="H32" s="15">
        <f>IF($F32="","",IF($G32="USD",$F32*TC,$F32))</f>
      </c>
      <c r="I32" s="19">
        <f>IF($F32="","",IF($G32="USD",$F32,$F32/TC))</f>
      </c>
      <c r="J32" s="11"/>
      <c r="K32" s="11"/>
      <c r="L32" s="11"/>
    </row>
    <row r="33" ht="22" customHeight="1" spans="1:12" x14ac:dyDescent="0.25">
      <c r="A33" s="16"/>
      <c r="B33" s="11"/>
      <c r="C33" s="11">
        <f>IF($B33="","",IFERROR(VLOOKUP($B33,Inquilinos!$A:$B,2,0),"ID inexistente"))</f>
      </c>
      <c r="D33" s="15">
        <f>IF($A33="","",MONTH($A33))</f>
      </c>
      <c r="E33" s="11"/>
      <c r="F33" s="7"/>
      <c r="G33" s="15"/>
      <c r="H33" s="15">
        <f>IF($F33="","",IF($G33="USD",$F33*TC,$F33))</f>
      </c>
      <c r="I33" s="19">
        <f>IF($F33="","",IF($G33="USD",$F33,$F33/TC))</f>
      </c>
      <c r="J33" s="11"/>
      <c r="K33" s="11"/>
      <c r="L33" s="11"/>
    </row>
    <row r="34" ht="22" customHeight="1" spans="1:12" x14ac:dyDescent="0.25">
      <c r="A34" s="16"/>
      <c r="B34" s="11"/>
      <c r="C34" s="11">
        <f>IF($B34="","",IFERROR(VLOOKUP($B34,Inquilinos!$A:$B,2,0),"ID inexistente"))</f>
      </c>
      <c r="D34" s="15">
        <f>IF($A34="","",MONTH($A34))</f>
      </c>
      <c r="E34" s="11"/>
      <c r="F34" s="7"/>
      <c r="G34" s="15"/>
      <c r="H34" s="15">
        <f>IF($F34="","",IF($G34="USD",$F34*TC,$F34))</f>
      </c>
      <c r="I34" s="19">
        <f>IF($F34="","",IF($G34="USD",$F34,$F34/TC))</f>
      </c>
      <c r="J34" s="11"/>
      <c r="K34" s="11"/>
      <c r="L34" s="11"/>
    </row>
    <row r="35" ht="22" customHeight="1" spans="1:12" x14ac:dyDescent="0.25">
      <c r="A35" s="16"/>
      <c r="B35" s="11"/>
      <c r="C35" s="11">
        <f>IF($B35="","",IFERROR(VLOOKUP($B35,Inquilinos!$A:$B,2,0),"ID inexistente"))</f>
      </c>
      <c r="D35" s="15">
        <f>IF($A35="","",MONTH($A35))</f>
      </c>
      <c r="E35" s="11"/>
      <c r="F35" s="7"/>
      <c r="G35" s="15"/>
      <c r="H35" s="15">
        <f>IF($F35="","",IF($G35="USD",$F35*TC,$F35))</f>
      </c>
      <c r="I35" s="19">
        <f>IF($F35="","",IF($G35="USD",$F35,$F35/TC))</f>
      </c>
      <c r="J35" s="11"/>
      <c r="K35" s="11"/>
      <c r="L35" s="11"/>
    </row>
    <row r="36" ht="22" customHeight="1" spans="1:12" x14ac:dyDescent="0.25">
      <c r="A36" s="16"/>
      <c r="B36" s="11"/>
      <c r="C36" s="11">
        <f>IF($B36="","",IFERROR(VLOOKUP($B36,Inquilinos!$A:$B,2,0),"ID inexistente"))</f>
      </c>
      <c r="D36" s="15">
        <f>IF($A36="","",MONTH($A36))</f>
      </c>
      <c r="E36" s="11"/>
      <c r="F36" s="7"/>
      <c r="G36" s="15"/>
      <c r="H36" s="15">
        <f>IF($F36="","",IF($G36="USD",$F36*TC,$F36))</f>
      </c>
      <c r="I36" s="19">
        <f>IF($F36="","",IF($G36="USD",$F36,$F36/TC))</f>
      </c>
      <c r="J36" s="11"/>
      <c r="K36" s="11"/>
      <c r="L36" s="11"/>
    </row>
    <row r="37" ht="22" customHeight="1" spans="1:12" x14ac:dyDescent="0.25">
      <c r="A37" s="16"/>
      <c r="B37" s="11"/>
      <c r="C37" s="11">
        <f>IF($B37="","",IFERROR(VLOOKUP($B37,Inquilinos!$A:$B,2,0),"ID inexistente"))</f>
      </c>
      <c r="D37" s="15">
        <f>IF($A37="","",MONTH($A37))</f>
      </c>
      <c r="E37" s="11"/>
      <c r="F37" s="7"/>
      <c r="G37" s="15"/>
      <c r="H37" s="15">
        <f>IF($F37="","",IF($G37="USD",$F37*TC,$F37))</f>
      </c>
      <c r="I37" s="19">
        <f>IF($F37="","",IF($G37="USD",$F37,$F37/TC))</f>
      </c>
      <c r="J37" s="11"/>
      <c r="K37" s="11"/>
      <c r="L37" s="11"/>
    </row>
    <row r="38" ht="22" customHeight="1" spans="1:12" x14ac:dyDescent="0.25">
      <c r="A38" s="16"/>
      <c r="B38" s="11"/>
      <c r="C38" s="11">
        <f>IF($B38="","",IFERROR(VLOOKUP($B38,Inquilinos!$A:$B,2,0),"ID inexistente"))</f>
      </c>
      <c r="D38" s="15">
        <f>IF($A38="","",MONTH($A38))</f>
      </c>
      <c r="E38" s="11"/>
      <c r="F38" s="7"/>
      <c r="G38" s="15"/>
      <c r="H38" s="15">
        <f>IF($F38="","",IF($G38="USD",$F38*TC,$F38))</f>
      </c>
      <c r="I38" s="19">
        <f>IF($F38="","",IF($G38="USD",$F38,$F38/TC))</f>
      </c>
      <c r="J38" s="11"/>
      <c r="K38" s="11"/>
      <c r="L38" s="11"/>
    </row>
    <row r="39" ht="22" customHeight="1" spans="1:12" x14ac:dyDescent="0.25">
      <c r="A39" s="16"/>
      <c r="B39" s="11"/>
      <c r="C39" s="11">
        <f>IF($B39="","",IFERROR(VLOOKUP($B39,Inquilinos!$A:$B,2,0),"ID inexistente"))</f>
      </c>
      <c r="D39" s="15">
        <f>IF($A39="","",MONTH($A39))</f>
      </c>
      <c r="E39" s="11"/>
      <c r="F39" s="7"/>
      <c r="G39" s="15"/>
      <c r="H39" s="15">
        <f>IF($F39="","",IF($G39="USD",$F39*TC,$F39))</f>
      </c>
      <c r="I39" s="19">
        <f>IF($F39="","",IF($G39="USD",$F39,$F39/TC))</f>
      </c>
      <c r="J39" s="11"/>
      <c r="K39" s="11"/>
      <c r="L39" s="11"/>
    </row>
    <row r="40" ht="22" customHeight="1" spans="1:12" x14ac:dyDescent="0.25">
      <c r="A40" s="16"/>
      <c r="B40" s="11"/>
      <c r="C40" s="11">
        <f>IF($B40="","",IFERROR(VLOOKUP($B40,Inquilinos!$A:$B,2,0),"ID inexistente"))</f>
      </c>
      <c r="D40" s="15">
        <f>IF($A40="","",MONTH($A40))</f>
      </c>
      <c r="E40" s="11"/>
      <c r="F40" s="7"/>
      <c r="G40" s="15"/>
      <c r="H40" s="15">
        <f>IF($F40="","",IF($G40="USD",$F40*TC,$F40))</f>
      </c>
      <c r="I40" s="19">
        <f>IF($F40="","",IF($G40="USD",$F40,$F40/TC))</f>
      </c>
      <c r="J40" s="11"/>
      <c r="K40" s="11"/>
      <c r="L40" s="11"/>
    </row>
    <row r="41" ht="22" customHeight="1" spans="1:12" x14ac:dyDescent="0.25">
      <c r="A41" s="16"/>
      <c r="B41" s="11"/>
      <c r="C41" s="11">
        <f>IF($B41="","",IFERROR(VLOOKUP($B41,Inquilinos!$A:$B,2,0),"ID inexistente"))</f>
      </c>
      <c r="D41" s="15">
        <f>IF($A41="","",MONTH($A41))</f>
      </c>
      <c r="E41" s="11"/>
      <c r="F41" s="7"/>
      <c r="G41" s="15"/>
      <c r="H41" s="15">
        <f>IF($F41="","",IF($G41="USD",$F41*TC,$F41))</f>
      </c>
      <c r="I41" s="19">
        <f>IF($F41="","",IF($G41="USD",$F41,$F41/TC))</f>
      </c>
      <c r="J41" s="11"/>
      <c r="K41" s="11"/>
      <c r="L41" s="11"/>
    </row>
    <row r="42" ht="22" customHeight="1" spans="1:12" x14ac:dyDescent="0.25">
      <c r="A42" s="16"/>
      <c r="B42" s="11"/>
      <c r="C42" s="11">
        <f>IF($B42="","",IFERROR(VLOOKUP($B42,Inquilinos!$A:$B,2,0),"ID inexistente"))</f>
      </c>
      <c r="D42" s="15">
        <f>IF($A42="","",MONTH($A42))</f>
      </c>
      <c r="E42" s="11"/>
      <c r="F42" s="7"/>
      <c r="G42" s="15"/>
      <c r="H42" s="15">
        <f>IF($F42="","",IF($G42="USD",$F42*TC,$F42))</f>
      </c>
      <c r="I42" s="19">
        <f>IF($F42="","",IF($G42="USD",$F42,$F42/TC))</f>
      </c>
      <c r="J42" s="11"/>
      <c r="K42" s="11"/>
      <c r="L42" s="11"/>
    </row>
    <row r="43" ht="22" customHeight="1" spans="1:12" x14ac:dyDescent="0.25">
      <c r="A43" s="16"/>
      <c r="B43" s="11"/>
      <c r="C43" s="11">
        <f>IF($B43="","",IFERROR(VLOOKUP($B43,Inquilinos!$A:$B,2,0),"ID inexistente"))</f>
      </c>
      <c r="D43" s="15">
        <f>IF($A43="","",MONTH($A43))</f>
      </c>
      <c r="E43" s="11"/>
      <c r="F43" s="7"/>
      <c r="G43" s="15"/>
      <c r="H43" s="15">
        <f>IF($F43="","",IF($G43="USD",$F43*TC,$F43))</f>
      </c>
      <c r="I43" s="19">
        <f>IF($F43="","",IF($G43="USD",$F43,$F43/TC))</f>
      </c>
      <c r="J43" s="11"/>
      <c r="K43" s="11"/>
      <c r="L43" s="11"/>
    </row>
    <row r="44" ht="22" customHeight="1" spans="1:12" x14ac:dyDescent="0.25">
      <c r="A44" s="16"/>
      <c r="B44" s="11"/>
      <c r="C44" s="11">
        <f>IF($B44="","",IFERROR(VLOOKUP($B44,Inquilinos!$A:$B,2,0),"ID inexistente"))</f>
      </c>
      <c r="D44" s="15">
        <f>IF($A44="","",MONTH($A44))</f>
      </c>
      <c r="E44" s="11"/>
      <c r="F44" s="7"/>
      <c r="G44" s="15"/>
      <c r="H44" s="15">
        <f>IF($F44="","",IF($G44="USD",$F44*TC,$F44))</f>
      </c>
      <c r="I44" s="19">
        <f>IF($F44="","",IF($G44="USD",$F44,$F44/TC))</f>
      </c>
      <c r="J44" s="11"/>
      <c r="K44" s="11"/>
      <c r="L44" s="11"/>
    </row>
    <row r="45" ht="22" customHeight="1" spans="1:12" x14ac:dyDescent="0.25">
      <c r="A45" s="16"/>
      <c r="B45" s="11"/>
      <c r="C45" s="11">
        <f>IF($B45="","",IFERROR(VLOOKUP($B45,Inquilinos!$A:$B,2,0),"ID inexistente"))</f>
      </c>
      <c r="D45" s="15">
        <f>IF($A45="","",MONTH($A45))</f>
      </c>
      <c r="E45" s="11"/>
      <c r="F45" s="7"/>
      <c r="G45" s="15"/>
      <c r="H45" s="15">
        <f>IF($F45="","",IF($G45="USD",$F45*TC,$F45))</f>
      </c>
      <c r="I45" s="19">
        <f>IF($F45="","",IF($G45="USD",$F45,$F45/TC))</f>
      </c>
      <c r="J45" s="11"/>
      <c r="K45" s="11"/>
      <c r="L45" s="11"/>
    </row>
    <row r="46" ht="22" customHeight="1" spans="1:12" x14ac:dyDescent="0.25">
      <c r="A46" s="16"/>
      <c r="B46" s="11"/>
      <c r="C46" s="11">
        <f>IF($B46="","",IFERROR(VLOOKUP($B46,Inquilinos!$A:$B,2,0),"ID inexistente"))</f>
      </c>
      <c r="D46" s="15">
        <f>IF($A46="","",MONTH($A46))</f>
      </c>
      <c r="E46" s="11"/>
      <c r="F46" s="7"/>
      <c r="G46" s="15"/>
      <c r="H46" s="15">
        <f>IF($F46="","",IF($G46="USD",$F46*TC,$F46))</f>
      </c>
      <c r="I46" s="19">
        <f>IF($F46="","",IF($G46="USD",$F46,$F46/TC))</f>
      </c>
      <c r="J46" s="11"/>
      <c r="K46" s="11"/>
      <c r="L46" s="11"/>
    </row>
    <row r="47" ht="22" customHeight="1" spans="1:12" x14ac:dyDescent="0.25">
      <c r="A47" s="16"/>
      <c r="B47" s="11"/>
      <c r="C47" s="11">
        <f>IF($B47="","",IFERROR(VLOOKUP($B47,Inquilinos!$A:$B,2,0),"ID inexistente"))</f>
      </c>
      <c r="D47" s="15">
        <f>IF($A47="","",MONTH($A47))</f>
      </c>
      <c r="E47" s="11"/>
      <c r="F47" s="7"/>
      <c r="G47" s="15"/>
      <c r="H47" s="15">
        <f>IF($F47="","",IF($G47="USD",$F47*TC,$F47))</f>
      </c>
      <c r="I47" s="19">
        <f>IF($F47="","",IF($G47="USD",$F47,$F47/TC))</f>
      </c>
      <c r="J47" s="11"/>
      <c r="K47" s="11"/>
      <c r="L47" s="11"/>
    </row>
    <row r="48" ht="22" customHeight="1" spans="1:12" x14ac:dyDescent="0.25">
      <c r="A48" s="16"/>
      <c r="B48" s="11"/>
      <c r="C48" s="11">
        <f>IF($B48="","",IFERROR(VLOOKUP($B48,Inquilinos!$A:$B,2,0),"ID inexistente"))</f>
      </c>
      <c r="D48" s="15">
        <f>IF($A48="","",MONTH($A48))</f>
      </c>
      <c r="E48" s="11"/>
      <c r="F48" s="7"/>
      <c r="G48" s="15"/>
      <c r="H48" s="15">
        <f>IF($F48="","",IF($G48="USD",$F48*TC,$F48))</f>
      </c>
      <c r="I48" s="19">
        <f>IF($F48="","",IF($G48="USD",$F48,$F48/TC))</f>
      </c>
      <c r="J48" s="11"/>
      <c r="K48" s="11"/>
      <c r="L48" s="11"/>
    </row>
    <row r="49" ht="22" customHeight="1" spans="1:12" x14ac:dyDescent="0.25">
      <c r="A49" s="16"/>
      <c r="B49" s="11"/>
      <c r="C49" s="11">
        <f>IF($B49="","",IFERROR(VLOOKUP($B49,Inquilinos!$A:$B,2,0),"ID inexistente"))</f>
      </c>
      <c r="D49" s="15">
        <f>IF($A49="","",MONTH($A49))</f>
      </c>
      <c r="E49" s="11"/>
      <c r="F49" s="7"/>
      <c r="G49" s="15"/>
      <c r="H49" s="15">
        <f>IF($F49="","",IF($G49="USD",$F49*TC,$F49))</f>
      </c>
      <c r="I49" s="19">
        <f>IF($F49="","",IF($G49="USD",$F49,$F49/TC))</f>
      </c>
      <c r="J49" s="11"/>
      <c r="K49" s="11"/>
      <c r="L49" s="11"/>
    </row>
    <row r="50" ht="22" customHeight="1" spans="1:12" x14ac:dyDescent="0.25">
      <c r="A50" s="16"/>
      <c r="B50" s="11"/>
      <c r="C50" s="11">
        <f>IF($B50="","",IFERROR(VLOOKUP($B50,Inquilinos!$A:$B,2,0),"ID inexistente"))</f>
      </c>
      <c r="D50" s="15">
        <f>IF($A50="","",MONTH($A50))</f>
      </c>
      <c r="E50" s="11"/>
      <c r="F50" s="7"/>
      <c r="G50" s="15"/>
      <c r="H50" s="15">
        <f>IF($F50="","",IF($G50="USD",$F50*TC,$F50))</f>
      </c>
      <c r="I50" s="19">
        <f>IF($F50="","",IF($G50="USD",$F50,$F50/TC))</f>
      </c>
      <c r="J50" s="11"/>
      <c r="K50" s="11"/>
      <c r="L50" s="11"/>
    </row>
    <row r="51" ht="22" customHeight="1" spans="1:12" x14ac:dyDescent="0.25">
      <c r="A51" s="16"/>
      <c r="B51" s="11"/>
      <c r="C51" s="11">
        <f>IF($B51="","",IFERROR(VLOOKUP($B51,Inquilinos!$A:$B,2,0),"ID inexistente"))</f>
      </c>
      <c r="D51" s="15">
        <f>IF($A51="","",MONTH($A51))</f>
      </c>
      <c r="E51" s="11"/>
      <c r="F51" s="7"/>
      <c r="G51" s="15"/>
      <c r="H51" s="15">
        <f>IF($F51="","",IF($G51="USD",$F51*TC,$F51))</f>
      </c>
      <c r="I51" s="19">
        <f>IF($F51="","",IF($G51="USD",$F51,$F51/TC))</f>
      </c>
      <c r="J51" s="11"/>
      <c r="K51" s="11"/>
      <c r="L51" s="11"/>
    </row>
    <row r="52" ht="22" customHeight="1" spans="1:12" x14ac:dyDescent="0.25">
      <c r="A52" s="16"/>
      <c r="B52" s="11"/>
      <c r="C52" s="11">
        <f>IF($B52="","",IFERROR(VLOOKUP($B52,Inquilinos!$A:$B,2,0),"ID inexistente"))</f>
      </c>
      <c r="D52" s="15">
        <f>IF($A52="","",MONTH($A52))</f>
      </c>
      <c r="E52" s="11"/>
      <c r="F52" s="7"/>
      <c r="G52" s="15"/>
      <c r="H52" s="15">
        <f>IF($F52="","",IF($G52="USD",$F52*TC,$F52))</f>
      </c>
      <c r="I52" s="19">
        <f>IF($F52="","",IF($G52="USD",$F52,$F52/TC))</f>
      </c>
      <c r="J52" s="11"/>
      <c r="K52" s="11"/>
      <c r="L52" s="11"/>
    </row>
    <row r="53" ht="22" customHeight="1" spans="1:12" x14ac:dyDescent="0.25">
      <c r="A53" s="16"/>
      <c r="B53" s="11"/>
      <c r="C53" s="11">
        <f>IF($B53="","",IFERROR(VLOOKUP($B53,Inquilinos!$A:$B,2,0),"ID inexistente"))</f>
      </c>
      <c r="D53" s="15">
        <f>IF($A53="","",MONTH($A53))</f>
      </c>
      <c r="E53" s="11"/>
      <c r="F53" s="7"/>
      <c r="G53" s="15"/>
      <c r="H53" s="15">
        <f>IF($F53="","",IF($G53="USD",$F53*TC,$F53))</f>
      </c>
      <c r="I53" s="19">
        <f>IF($F53="","",IF($G53="USD",$F53,$F53/TC))</f>
      </c>
      <c r="J53" s="11"/>
      <c r="K53" s="11"/>
      <c r="L53" s="11"/>
    </row>
    <row r="54" ht="22" customHeight="1" spans="1:12" x14ac:dyDescent="0.25">
      <c r="A54" s="16"/>
      <c r="B54" s="11"/>
      <c r="C54" s="11">
        <f>IF($B54="","",IFERROR(VLOOKUP($B54,Inquilinos!$A:$B,2,0),"ID inexistente"))</f>
      </c>
      <c r="D54" s="15">
        <f>IF($A54="","",MONTH($A54))</f>
      </c>
      <c r="E54" s="11"/>
      <c r="F54" s="7"/>
      <c r="G54" s="15"/>
      <c r="H54" s="15">
        <f>IF($F54="","",IF($G54="USD",$F54*TC,$F54))</f>
      </c>
      <c r="I54" s="19">
        <f>IF($F54="","",IF($G54="USD",$F54,$F54/TC))</f>
      </c>
      <c r="J54" s="11"/>
      <c r="K54" s="11"/>
      <c r="L54" s="11"/>
    </row>
    <row r="55" ht="22" customHeight="1" spans="1:12" x14ac:dyDescent="0.25">
      <c r="A55" s="16"/>
      <c r="B55" s="11"/>
      <c r="C55" s="11">
        <f>IF($B55="","",IFERROR(VLOOKUP($B55,Inquilinos!$A:$B,2,0),"ID inexistente"))</f>
      </c>
      <c r="D55" s="15">
        <f>IF($A55="","",MONTH($A55))</f>
      </c>
      <c r="E55" s="11"/>
      <c r="F55" s="7"/>
      <c r="G55" s="15"/>
      <c r="H55" s="15">
        <f>IF($F55="","",IF($G55="USD",$F55*TC,$F55))</f>
      </c>
      <c r="I55" s="19">
        <f>IF($F55="","",IF($G55="USD",$F55,$F55/TC))</f>
      </c>
      <c r="J55" s="11"/>
      <c r="K55" s="11"/>
      <c r="L55" s="11"/>
    </row>
    <row r="56" ht="22" customHeight="1" spans="1:12" x14ac:dyDescent="0.25">
      <c r="A56" s="16"/>
      <c r="B56" s="11"/>
      <c r="C56" s="11">
        <f>IF($B56="","",IFERROR(VLOOKUP($B56,Inquilinos!$A:$B,2,0),"ID inexistente"))</f>
      </c>
      <c r="D56" s="15">
        <f>IF($A56="","",MONTH($A56))</f>
      </c>
      <c r="E56" s="11"/>
      <c r="F56" s="7"/>
      <c r="G56" s="15"/>
      <c r="H56" s="15">
        <f>IF($F56="","",IF($G56="USD",$F56*TC,$F56))</f>
      </c>
      <c r="I56" s="19">
        <f>IF($F56="","",IF($G56="USD",$F56,$F56/TC))</f>
      </c>
      <c r="J56" s="11"/>
      <c r="K56" s="11"/>
      <c r="L56" s="11"/>
    </row>
    <row r="57" ht="22" customHeight="1" spans="1:12" x14ac:dyDescent="0.25">
      <c r="A57" s="16"/>
      <c r="B57" s="11"/>
      <c r="C57" s="11">
        <f>IF($B57="","",IFERROR(VLOOKUP($B57,Inquilinos!$A:$B,2,0),"ID inexistente"))</f>
      </c>
      <c r="D57" s="15">
        <f>IF($A57="","",MONTH($A57))</f>
      </c>
      <c r="E57" s="11"/>
      <c r="F57" s="7"/>
      <c r="G57" s="15"/>
      <c r="H57" s="15">
        <f>IF($F57="","",IF($G57="USD",$F57*TC,$F57))</f>
      </c>
      <c r="I57" s="19">
        <f>IF($F57="","",IF($G57="USD",$F57,$F57/TC))</f>
      </c>
      <c r="J57" s="11"/>
      <c r="K57" s="11"/>
      <c r="L57" s="11"/>
    </row>
    <row r="58" ht="22" customHeight="1" spans="1:12" x14ac:dyDescent="0.25">
      <c r="A58" s="16"/>
      <c r="B58" s="11"/>
      <c r="C58" s="11">
        <f>IF($B58="","",IFERROR(VLOOKUP($B58,Inquilinos!$A:$B,2,0),"ID inexistente"))</f>
      </c>
      <c r="D58" s="15">
        <f>IF($A58="","",MONTH($A58))</f>
      </c>
      <c r="E58" s="11"/>
      <c r="F58" s="7"/>
      <c r="G58" s="15"/>
      <c r="H58" s="15">
        <f>IF($F58="","",IF($G58="USD",$F58*TC,$F58))</f>
      </c>
      <c r="I58" s="19">
        <f>IF($F58="","",IF($G58="USD",$F58,$F58/TC))</f>
      </c>
      <c r="J58" s="11"/>
      <c r="K58" s="11"/>
      <c r="L58" s="11"/>
    </row>
    <row r="59" ht="22" customHeight="1" spans="1:12" x14ac:dyDescent="0.25">
      <c r="A59" s="16"/>
      <c r="B59" s="11"/>
      <c r="C59" s="11">
        <f>IF($B59="","",IFERROR(VLOOKUP($B59,Inquilinos!$A:$B,2,0),"ID inexistente"))</f>
      </c>
      <c r="D59" s="15">
        <f>IF($A59="","",MONTH($A59))</f>
      </c>
      <c r="E59" s="11"/>
      <c r="F59" s="7"/>
      <c r="G59" s="15"/>
      <c r="H59" s="15">
        <f>IF($F59="","",IF($G59="USD",$F59*TC,$F59))</f>
      </c>
      <c r="I59" s="19">
        <f>IF($F59="","",IF($G59="USD",$F59,$F59/TC))</f>
      </c>
      <c r="J59" s="11"/>
      <c r="K59" s="11"/>
      <c r="L59" s="11"/>
    </row>
    <row r="60" ht="22" customHeight="1" spans="1:12" x14ac:dyDescent="0.25">
      <c r="A60" s="16"/>
      <c r="B60" s="11"/>
      <c r="C60" s="11">
        <f>IF($B60="","",IFERROR(VLOOKUP($B60,Inquilinos!$A:$B,2,0),"ID inexistente"))</f>
      </c>
      <c r="D60" s="15">
        <f>IF($A60="","",MONTH($A60))</f>
      </c>
      <c r="E60" s="11"/>
      <c r="F60" s="7"/>
      <c r="G60" s="15"/>
      <c r="H60" s="15">
        <f>IF($F60="","",IF($G60="USD",$F60*TC,$F60))</f>
      </c>
      <c r="I60" s="19">
        <f>IF($F60="","",IF($G60="USD",$F60,$F60/TC))</f>
      </c>
      <c r="J60" s="11"/>
      <c r="K60" s="11"/>
      <c r="L60" s="11"/>
    </row>
    <row r="61" ht="22" customHeight="1" spans="1:12" x14ac:dyDescent="0.25">
      <c r="A61" s="16"/>
      <c r="B61" s="11"/>
      <c r="C61" s="11">
        <f>IF($B61="","",IFERROR(VLOOKUP($B61,Inquilinos!$A:$B,2,0),"ID inexistente"))</f>
      </c>
      <c r="D61" s="15">
        <f>IF($A61="","",MONTH($A61))</f>
      </c>
      <c r="E61" s="11"/>
      <c r="F61" s="7"/>
      <c r="G61" s="15"/>
      <c r="H61" s="15">
        <f>IF($F61="","",IF($G61="USD",$F61*TC,$F61))</f>
      </c>
      <c r="I61" s="19">
        <f>IF($F61="","",IF($G61="USD",$F61,$F61/TC))</f>
      </c>
      <c r="J61" s="11"/>
      <c r="K61" s="11"/>
      <c r="L61" s="11"/>
    </row>
    <row r="62" ht="22" customHeight="1" spans="1:12" x14ac:dyDescent="0.25">
      <c r="A62" s="16"/>
      <c r="B62" s="11"/>
      <c r="C62" s="11">
        <f>IF($B62="","",IFERROR(VLOOKUP($B62,Inquilinos!$A:$B,2,0),"ID inexistente"))</f>
      </c>
      <c r="D62" s="15">
        <f>IF($A62="","",MONTH($A62))</f>
      </c>
      <c r="E62" s="11"/>
      <c r="F62" s="7"/>
      <c r="G62" s="15"/>
      <c r="H62" s="15">
        <f>IF($F62="","",IF($G62="USD",$F62*TC,$F62))</f>
      </c>
      <c r="I62" s="19">
        <f>IF($F62="","",IF($G62="USD",$F62,$F62/TC))</f>
      </c>
      <c r="J62" s="11"/>
      <c r="K62" s="11"/>
      <c r="L62" s="11"/>
    </row>
    <row r="63" ht="22" customHeight="1" spans="1:12" x14ac:dyDescent="0.25">
      <c r="A63" s="16"/>
      <c r="B63" s="11"/>
      <c r="C63" s="11">
        <f>IF($B63="","",IFERROR(VLOOKUP($B63,Inquilinos!$A:$B,2,0),"ID inexistente"))</f>
      </c>
      <c r="D63" s="15">
        <f>IF($A63="","",MONTH($A63))</f>
      </c>
      <c r="E63" s="11"/>
      <c r="F63" s="7"/>
      <c r="G63" s="15"/>
      <c r="H63" s="15">
        <f>IF($F63="","",IF($G63="USD",$F63*TC,$F63))</f>
      </c>
      <c r="I63" s="19">
        <f>IF($F63="","",IF($G63="USD",$F63,$F63/TC))</f>
      </c>
      <c r="J63" s="11"/>
      <c r="K63" s="11"/>
      <c r="L63" s="11"/>
    </row>
    <row r="64" ht="22" customHeight="1" spans="1:12" x14ac:dyDescent="0.25">
      <c r="A64" s="16"/>
      <c r="B64" s="11"/>
      <c r="C64" s="11">
        <f>IF($B64="","",IFERROR(VLOOKUP($B64,Inquilinos!$A:$B,2,0),"ID inexistente"))</f>
      </c>
      <c r="D64" s="15">
        <f>IF($A64="","",MONTH($A64))</f>
      </c>
      <c r="E64" s="11"/>
      <c r="F64" s="7"/>
      <c r="G64" s="15"/>
      <c r="H64" s="15">
        <f>IF($F64="","",IF($G64="USD",$F64*TC,$F64))</f>
      </c>
      <c r="I64" s="19">
        <f>IF($F64="","",IF($G64="USD",$F64,$F64/TC))</f>
      </c>
      <c r="J64" s="11"/>
      <c r="K64" s="11"/>
      <c r="L64" s="11"/>
    </row>
    <row r="65" ht="22" customHeight="1" spans="1:12" x14ac:dyDescent="0.25">
      <c r="A65" s="16"/>
      <c r="B65" s="11"/>
      <c r="C65" s="11">
        <f>IF($B65="","",IFERROR(VLOOKUP($B65,Inquilinos!$A:$B,2,0),"ID inexistente"))</f>
      </c>
      <c r="D65" s="15">
        <f>IF($A65="","",MONTH($A65))</f>
      </c>
      <c r="E65" s="11"/>
      <c r="F65" s="7"/>
      <c r="G65" s="15"/>
      <c r="H65" s="15">
        <f>IF($F65="","",IF($G65="USD",$F65*TC,$F65))</f>
      </c>
      <c r="I65" s="19">
        <f>IF($F65="","",IF($G65="USD",$F65,$F65/TC))</f>
      </c>
      <c r="J65" s="11"/>
      <c r="K65" s="11"/>
      <c r="L65" s="11"/>
    </row>
    <row r="66" ht="22" customHeight="1" spans="1:12" x14ac:dyDescent="0.25">
      <c r="A66" s="16"/>
      <c r="B66" s="11"/>
      <c r="C66" s="11">
        <f>IF($B66="","",IFERROR(VLOOKUP($B66,Inquilinos!$A:$B,2,0),"ID inexistente"))</f>
      </c>
      <c r="D66" s="15">
        <f>IF($A66="","",MONTH($A66))</f>
      </c>
      <c r="E66" s="11"/>
      <c r="F66" s="7"/>
      <c r="G66" s="15"/>
      <c r="H66" s="15">
        <f>IF($F66="","",IF($G66="USD",$F66*TC,$F66))</f>
      </c>
      <c r="I66" s="19">
        <f>IF($F66="","",IF($G66="USD",$F66,$F66/TC))</f>
      </c>
      <c r="J66" s="11"/>
      <c r="K66" s="11"/>
      <c r="L66" s="11"/>
    </row>
    <row r="67" ht="22" customHeight="1" spans="1:12" x14ac:dyDescent="0.25">
      <c r="A67" s="16"/>
      <c r="B67" s="11"/>
      <c r="C67" s="11">
        <f>IF($B67="","",IFERROR(VLOOKUP($B67,Inquilinos!$A:$B,2,0),"ID inexistente"))</f>
      </c>
      <c r="D67" s="15">
        <f>IF($A67="","",MONTH($A67))</f>
      </c>
      <c r="E67" s="11"/>
      <c r="F67" s="7"/>
      <c r="G67" s="15"/>
      <c r="H67" s="15">
        <f>IF($F67="","",IF($G67="USD",$F67*TC,$F67))</f>
      </c>
      <c r="I67" s="19">
        <f>IF($F67="","",IF($G67="USD",$F67,$F67/TC))</f>
      </c>
      <c r="J67" s="11"/>
      <c r="K67" s="11"/>
      <c r="L67" s="11"/>
    </row>
    <row r="68" ht="22" customHeight="1" spans="1:12" x14ac:dyDescent="0.25">
      <c r="A68" s="16"/>
      <c r="B68" s="11"/>
      <c r="C68" s="11">
        <f>IF($B68="","",IFERROR(VLOOKUP($B68,Inquilinos!$A:$B,2,0),"ID inexistente"))</f>
      </c>
      <c r="D68" s="15">
        <f>IF($A68="","",MONTH($A68))</f>
      </c>
      <c r="E68" s="11"/>
      <c r="F68" s="7"/>
      <c r="G68" s="15"/>
      <c r="H68" s="15">
        <f>IF($F68="","",IF($G68="USD",$F68*TC,$F68))</f>
      </c>
      <c r="I68" s="19">
        <f>IF($F68="","",IF($G68="USD",$F68,$F68/TC))</f>
      </c>
      <c r="J68" s="11"/>
      <c r="K68" s="11"/>
      <c r="L68" s="11"/>
    </row>
    <row r="69" ht="22" customHeight="1" spans="1:12" x14ac:dyDescent="0.25">
      <c r="A69" s="16"/>
      <c r="B69" s="11"/>
      <c r="C69" s="11">
        <f>IF($B69="","",IFERROR(VLOOKUP($B69,Inquilinos!$A:$B,2,0),"ID inexistente"))</f>
      </c>
      <c r="D69" s="15">
        <f>IF($A69="","",MONTH($A69))</f>
      </c>
      <c r="E69" s="11"/>
      <c r="F69" s="7"/>
      <c r="G69" s="15"/>
      <c r="H69" s="15">
        <f>IF($F69="","",IF($G69="USD",$F69*TC,$F69))</f>
      </c>
      <c r="I69" s="19">
        <f>IF($F69="","",IF($G69="USD",$F69,$F69/TC))</f>
      </c>
      <c r="J69" s="11"/>
      <c r="K69" s="11"/>
      <c r="L69" s="11"/>
    </row>
    <row r="70" ht="22" customHeight="1" spans="1:12" x14ac:dyDescent="0.25">
      <c r="A70" s="16"/>
      <c r="B70" s="11"/>
      <c r="C70" s="11">
        <f>IF($B70="","",IFERROR(VLOOKUP($B70,Inquilinos!$A:$B,2,0),"ID inexistente"))</f>
      </c>
      <c r="D70" s="15">
        <f>IF($A70="","",MONTH($A70))</f>
      </c>
      <c r="E70" s="11"/>
      <c r="F70" s="7"/>
      <c r="G70" s="15"/>
      <c r="H70" s="15">
        <f>IF($F70="","",IF($G70="USD",$F70*TC,$F70))</f>
      </c>
      <c r="I70" s="19">
        <f>IF($F70="","",IF($G70="USD",$F70,$F70/TC))</f>
      </c>
      <c r="J70" s="11"/>
      <c r="K70" s="11"/>
      <c r="L70" s="11"/>
    </row>
    <row r="71" ht="22" customHeight="1" spans="1:12" x14ac:dyDescent="0.25">
      <c r="A71" s="16"/>
      <c r="B71" s="11"/>
      <c r="C71" s="11">
        <f>IF($B71="","",IFERROR(VLOOKUP($B71,Inquilinos!$A:$B,2,0),"ID inexistente"))</f>
      </c>
      <c r="D71" s="15">
        <f>IF($A71="","",MONTH($A71))</f>
      </c>
      <c r="E71" s="11"/>
      <c r="F71" s="7"/>
      <c r="G71" s="15"/>
      <c r="H71" s="15">
        <f>IF($F71="","",IF($G71="USD",$F71*TC,$F71))</f>
      </c>
      <c r="I71" s="19">
        <f>IF($F71="","",IF($G71="USD",$F71,$F71/TC))</f>
      </c>
      <c r="J71" s="11"/>
      <c r="K71" s="11"/>
      <c r="L71" s="11"/>
    </row>
    <row r="72" ht="22" customHeight="1" spans="1:12" x14ac:dyDescent="0.25">
      <c r="A72" s="16"/>
      <c r="B72" s="11"/>
      <c r="C72" s="11">
        <f>IF($B72="","",IFERROR(VLOOKUP($B72,Inquilinos!$A:$B,2,0),"ID inexistente"))</f>
      </c>
      <c r="D72" s="15">
        <f>IF($A72="","",MONTH($A72))</f>
      </c>
      <c r="E72" s="11"/>
      <c r="F72" s="7"/>
      <c r="G72" s="15"/>
      <c r="H72" s="15">
        <f>IF($F72="","",IF($G72="USD",$F72*TC,$F72))</f>
      </c>
      <c r="I72" s="19">
        <f>IF($F72="","",IF($G72="USD",$F72,$F72/TC))</f>
      </c>
      <c r="J72" s="11"/>
      <c r="K72" s="11"/>
      <c r="L72" s="11"/>
    </row>
    <row r="73" ht="22" customHeight="1" spans="1:12" x14ac:dyDescent="0.25">
      <c r="A73" s="16"/>
      <c r="B73" s="11"/>
      <c r="C73" s="11">
        <f>IF($B73="","",IFERROR(VLOOKUP($B73,Inquilinos!$A:$B,2,0),"ID inexistente"))</f>
      </c>
      <c r="D73" s="15">
        <f>IF($A73="","",MONTH($A73))</f>
      </c>
      <c r="E73" s="11"/>
      <c r="F73" s="7"/>
      <c r="G73" s="15"/>
      <c r="H73" s="15">
        <f>IF($F73="","",IF($G73="USD",$F73*TC,$F73))</f>
      </c>
      <c r="I73" s="19">
        <f>IF($F73="","",IF($G73="USD",$F73,$F73/TC))</f>
      </c>
      <c r="J73" s="11"/>
      <c r="K73" s="11"/>
      <c r="L73" s="11"/>
    </row>
    <row r="74" ht="22" customHeight="1" spans="1:12" x14ac:dyDescent="0.25">
      <c r="A74" s="16"/>
      <c r="B74" s="11"/>
      <c r="C74" s="11">
        <f>IF($B74="","",IFERROR(VLOOKUP($B74,Inquilinos!$A:$B,2,0),"ID inexistente"))</f>
      </c>
      <c r="D74" s="15">
        <f>IF($A74="","",MONTH($A74))</f>
      </c>
      <c r="E74" s="11"/>
      <c r="F74" s="7"/>
      <c r="G74" s="15"/>
      <c r="H74" s="15">
        <f>IF($F74="","",IF($G74="USD",$F74*TC,$F74))</f>
      </c>
      <c r="I74" s="19">
        <f>IF($F74="","",IF($G74="USD",$F74,$F74/TC))</f>
      </c>
      <c r="J74" s="11"/>
      <c r="K74" s="11"/>
      <c r="L74" s="11"/>
    </row>
    <row r="75" ht="22" customHeight="1" spans="1:12" x14ac:dyDescent="0.25">
      <c r="A75" s="16"/>
      <c r="B75" s="11"/>
      <c r="C75" s="11">
        <f>IF($B75="","",IFERROR(VLOOKUP($B75,Inquilinos!$A:$B,2,0),"ID inexistente"))</f>
      </c>
      <c r="D75" s="15">
        <f>IF($A75="","",MONTH($A75))</f>
      </c>
      <c r="E75" s="11"/>
      <c r="F75" s="7"/>
      <c r="G75" s="15"/>
      <c r="H75" s="15">
        <f>IF($F75="","",IF($G75="USD",$F75*TC,$F75))</f>
      </c>
      <c r="I75" s="19">
        <f>IF($F75="","",IF($G75="USD",$F75,$F75/TC))</f>
      </c>
      <c r="J75" s="11"/>
      <c r="K75" s="11"/>
      <c r="L75" s="11"/>
    </row>
    <row r="76" ht="22" customHeight="1" spans="1:12" x14ac:dyDescent="0.25">
      <c r="A76" s="16"/>
      <c r="B76" s="11"/>
      <c r="C76" s="11">
        <f>IF($B76="","",IFERROR(VLOOKUP($B76,Inquilinos!$A:$B,2,0),"ID inexistente"))</f>
      </c>
      <c r="D76" s="15">
        <f>IF($A76="","",MONTH($A76))</f>
      </c>
      <c r="E76" s="11"/>
      <c r="F76" s="7"/>
      <c r="G76" s="15"/>
      <c r="H76" s="15">
        <f>IF($F76="","",IF($G76="USD",$F76*TC,$F76))</f>
      </c>
      <c r="I76" s="19">
        <f>IF($F76="","",IF($G76="USD",$F76,$F76/TC))</f>
      </c>
      <c r="J76" s="11"/>
      <c r="K76" s="11"/>
      <c r="L76" s="11"/>
    </row>
    <row r="77" ht="22" customHeight="1" spans="1:12" x14ac:dyDescent="0.25">
      <c r="A77" s="16"/>
      <c r="B77" s="11"/>
      <c r="C77" s="11">
        <f>IF($B77="","",IFERROR(VLOOKUP($B77,Inquilinos!$A:$B,2,0),"ID inexistente"))</f>
      </c>
      <c r="D77" s="15">
        <f>IF($A77="","",MONTH($A77))</f>
      </c>
      <c r="E77" s="11"/>
      <c r="F77" s="7"/>
      <c r="G77" s="15"/>
      <c r="H77" s="15">
        <f>IF($F77="","",IF($G77="USD",$F77*TC,$F77))</f>
      </c>
      <c r="I77" s="19">
        <f>IF($F77="","",IF($G77="USD",$F77,$F77/TC))</f>
      </c>
      <c r="J77" s="11"/>
      <c r="K77" s="11"/>
      <c r="L77" s="11"/>
    </row>
    <row r="78" ht="22" customHeight="1" spans="1:12" x14ac:dyDescent="0.25">
      <c r="A78" s="16"/>
      <c r="B78" s="11"/>
      <c r="C78" s="11">
        <f>IF($B78="","",IFERROR(VLOOKUP($B78,Inquilinos!$A:$B,2,0),"ID inexistente"))</f>
      </c>
      <c r="D78" s="15">
        <f>IF($A78="","",MONTH($A78))</f>
      </c>
      <c r="E78" s="11"/>
      <c r="F78" s="7"/>
      <c r="G78" s="15"/>
      <c r="H78" s="15">
        <f>IF($F78="","",IF($G78="USD",$F78*TC,$F78))</f>
      </c>
      <c r="I78" s="19">
        <f>IF($F78="","",IF($G78="USD",$F78,$F78/TC))</f>
      </c>
      <c r="J78" s="11"/>
      <c r="K78" s="11"/>
      <c r="L78" s="11"/>
    </row>
    <row r="79" ht="22" customHeight="1" spans="1:12" x14ac:dyDescent="0.25">
      <c r="A79" s="16"/>
      <c r="B79" s="11"/>
      <c r="C79" s="11">
        <f>IF($B79="","",IFERROR(VLOOKUP($B79,Inquilinos!$A:$B,2,0),"ID inexistente"))</f>
      </c>
      <c r="D79" s="15">
        <f>IF($A79="","",MONTH($A79))</f>
      </c>
      <c r="E79" s="11"/>
      <c r="F79" s="7"/>
      <c r="G79" s="15"/>
      <c r="H79" s="15">
        <f>IF($F79="","",IF($G79="USD",$F79*TC,$F79))</f>
      </c>
      <c r="I79" s="19">
        <f>IF($F79="","",IF($G79="USD",$F79,$F79/TC))</f>
      </c>
      <c r="J79" s="11"/>
      <c r="K79" s="11"/>
      <c r="L79" s="11"/>
    </row>
    <row r="80" ht="22" customHeight="1" spans="1:12" x14ac:dyDescent="0.25">
      <c r="A80" s="16"/>
      <c r="B80" s="11"/>
      <c r="C80" s="11">
        <f>IF($B80="","",IFERROR(VLOOKUP($B80,Inquilinos!$A:$B,2,0),"ID inexistente"))</f>
      </c>
      <c r="D80" s="15">
        <f>IF($A80="","",MONTH($A80))</f>
      </c>
      <c r="E80" s="11"/>
      <c r="F80" s="7"/>
      <c r="G80" s="15"/>
      <c r="H80" s="15">
        <f>IF($F80="","",IF($G80="USD",$F80*TC,$F80))</f>
      </c>
      <c r="I80" s="19">
        <f>IF($F80="","",IF($G80="USD",$F80,$F80/TC))</f>
      </c>
      <c r="J80" s="11"/>
      <c r="K80" s="11"/>
      <c r="L80" s="11"/>
    </row>
    <row r="81" ht="22" customHeight="1" spans="1:12" x14ac:dyDescent="0.25">
      <c r="A81" s="16"/>
      <c r="B81" s="11"/>
      <c r="C81" s="11">
        <f>IF($B81="","",IFERROR(VLOOKUP($B81,Inquilinos!$A:$B,2,0),"ID inexistente"))</f>
      </c>
      <c r="D81" s="15">
        <f>IF($A81="","",MONTH($A81))</f>
      </c>
      <c r="E81" s="11"/>
      <c r="F81" s="7"/>
      <c r="G81" s="15"/>
      <c r="H81" s="15">
        <f>IF($F81="","",IF($G81="USD",$F81*TC,$F81))</f>
      </c>
      <c r="I81" s="19">
        <f>IF($F81="","",IF($G81="USD",$F81,$F81/TC))</f>
      </c>
      <c r="J81" s="11"/>
      <c r="K81" s="11"/>
      <c r="L81" s="11"/>
    </row>
    <row r="82" ht="22" customHeight="1" spans="1:12" x14ac:dyDescent="0.25">
      <c r="A82" s="16"/>
      <c r="B82" s="11"/>
      <c r="C82" s="11">
        <f>IF($B82="","",IFERROR(VLOOKUP($B82,Inquilinos!$A:$B,2,0),"ID inexistente"))</f>
      </c>
      <c r="D82" s="15">
        <f>IF($A82="","",MONTH($A82))</f>
      </c>
      <c r="E82" s="11"/>
      <c r="F82" s="7"/>
      <c r="G82" s="15"/>
      <c r="H82" s="15">
        <f>IF($F82="","",IF($G82="USD",$F82*TC,$F82))</f>
      </c>
      <c r="I82" s="19">
        <f>IF($F82="","",IF($G82="USD",$F82,$F82/TC))</f>
      </c>
      <c r="J82" s="11"/>
      <c r="K82" s="11"/>
      <c r="L82" s="11"/>
    </row>
    <row r="83" ht="22" customHeight="1" spans="1:12" x14ac:dyDescent="0.25">
      <c r="A83" s="16"/>
      <c r="B83" s="11"/>
      <c r="C83" s="11">
        <f>IF($B83="","",IFERROR(VLOOKUP($B83,Inquilinos!$A:$B,2,0),"ID inexistente"))</f>
      </c>
      <c r="D83" s="15">
        <f>IF($A83="","",MONTH($A83))</f>
      </c>
      <c r="E83" s="11"/>
      <c r="F83" s="7"/>
      <c r="G83" s="15"/>
      <c r="H83" s="15">
        <f>IF($F83="","",IF($G83="USD",$F83*TC,$F83))</f>
      </c>
      <c r="I83" s="19">
        <f>IF($F83="","",IF($G83="USD",$F83,$F83/TC))</f>
      </c>
      <c r="J83" s="11"/>
      <c r="K83" s="11"/>
      <c r="L83" s="11"/>
    </row>
    <row r="84" ht="22" customHeight="1" spans="1:12" x14ac:dyDescent="0.25">
      <c r="A84" s="16"/>
      <c r="B84" s="11"/>
      <c r="C84" s="11">
        <f>IF($B84="","",IFERROR(VLOOKUP($B84,Inquilinos!$A:$B,2,0),"ID inexistente"))</f>
      </c>
      <c r="D84" s="15">
        <f>IF($A84="","",MONTH($A84))</f>
      </c>
      <c r="E84" s="11"/>
      <c r="F84" s="7"/>
      <c r="G84" s="15"/>
      <c r="H84" s="15">
        <f>IF($F84="","",IF($G84="USD",$F84*TC,$F84))</f>
      </c>
      <c r="I84" s="19">
        <f>IF($F84="","",IF($G84="USD",$F84,$F84/TC))</f>
      </c>
      <c r="J84" s="11"/>
      <c r="K84" s="11"/>
      <c r="L84" s="11"/>
    </row>
    <row r="85" ht="22" customHeight="1" spans="1:12" x14ac:dyDescent="0.25">
      <c r="A85" s="16"/>
      <c r="B85" s="11"/>
      <c r="C85" s="11">
        <f>IF($B85="","",IFERROR(VLOOKUP($B85,Inquilinos!$A:$B,2,0),"ID inexistente"))</f>
      </c>
      <c r="D85" s="15">
        <f>IF($A85="","",MONTH($A85))</f>
      </c>
      <c r="E85" s="11"/>
      <c r="F85" s="7"/>
      <c r="G85" s="15"/>
      <c r="H85" s="15">
        <f>IF($F85="","",IF($G85="USD",$F85*TC,$F85))</f>
      </c>
      <c r="I85" s="19">
        <f>IF($F85="","",IF($G85="USD",$F85,$F85/TC))</f>
      </c>
      <c r="J85" s="11"/>
      <c r="K85" s="11"/>
      <c r="L85" s="11"/>
    </row>
    <row r="86" ht="22" customHeight="1" spans="1:12" x14ac:dyDescent="0.25">
      <c r="A86" s="16"/>
      <c r="B86" s="11"/>
      <c r="C86" s="11">
        <f>IF($B86="","",IFERROR(VLOOKUP($B86,Inquilinos!$A:$B,2,0),"ID inexistente"))</f>
      </c>
      <c r="D86" s="15">
        <f>IF($A86="","",MONTH($A86))</f>
      </c>
      <c r="E86" s="11"/>
      <c r="F86" s="7"/>
      <c r="G86" s="15"/>
      <c r="H86" s="15">
        <f>IF($F86="","",IF($G86="USD",$F86*TC,$F86))</f>
      </c>
      <c r="I86" s="19">
        <f>IF($F86="","",IF($G86="USD",$F86,$F86/TC))</f>
      </c>
      <c r="J86" s="11"/>
      <c r="K86" s="11"/>
      <c r="L86" s="11"/>
    </row>
    <row r="87" ht="22" customHeight="1" spans="1:12" x14ac:dyDescent="0.25">
      <c r="A87" s="16"/>
      <c r="B87" s="11"/>
      <c r="C87" s="11">
        <f>IF($B87="","",IFERROR(VLOOKUP($B87,Inquilinos!$A:$B,2,0),"ID inexistente"))</f>
      </c>
      <c r="D87" s="15">
        <f>IF($A87="","",MONTH($A87))</f>
      </c>
      <c r="E87" s="11"/>
      <c r="F87" s="7"/>
      <c r="G87" s="15"/>
      <c r="H87" s="15">
        <f>IF($F87="","",IF($G87="USD",$F87*TC,$F87))</f>
      </c>
      <c r="I87" s="19">
        <f>IF($F87="","",IF($G87="USD",$F87,$F87/TC))</f>
      </c>
      <c r="J87" s="11"/>
      <c r="K87" s="11"/>
      <c r="L87" s="11"/>
    </row>
    <row r="88" ht="22" customHeight="1" spans="1:12" x14ac:dyDescent="0.25">
      <c r="A88" s="16"/>
      <c r="B88" s="11"/>
      <c r="C88" s="11">
        <f>IF($B88="","",IFERROR(VLOOKUP($B88,Inquilinos!$A:$B,2,0),"ID inexistente"))</f>
      </c>
      <c r="D88" s="15">
        <f>IF($A88="","",MONTH($A88))</f>
      </c>
      <c r="E88" s="11"/>
      <c r="F88" s="7"/>
      <c r="G88" s="15"/>
      <c r="H88" s="15">
        <f>IF($F88="","",IF($G88="USD",$F88*TC,$F88))</f>
      </c>
      <c r="I88" s="19">
        <f>IF($F88="","",IF($G88="USD",$F88,$F88/TC))</f>
      </c>
      <c r="J88" s="11"/>
      <c r="K88" s="11"/>
      <c r="L88" s="11"/>
    </row>
    <row r="89" ht="22" customHeight="1" spans="1:12" x14ac:dyDescent="0.25">
      <c r="A89" s="16"/>
      <c r="B89" s="11"/>
      <c r="C89" s="11">
        <f>IF($B89="","",IFERROR(VLOOKUP($B89,Inquilinos!$A:$B,2,0),"ID inexistente"))</f>
      </c>
      <c r="D89" s="15">
        <f>IF($A89="","",MONTH($A89))</f>
      </c>
      <c r="E89" s="11"/>
      <c r="F89" s="7"/>
      <c r="G89" s="15"/>
      <c r="H89" s="15">
        <f>IF($F89="","",IF($G89="USD",$F89*TC,$F89))</f>
      </c>
      <c r="I89" s="19">
        <f>IF($F89="","",IF($G89="USD",$F89,$F89/TC))</f>
      </c>
      <c r="J89" s="11"/>
      <c r="K89" s="11"/>
      <c r="L89" s="11"/>
    </row>
    <row r="90" ht="22" customHeight="1" spans="1:12" x14ac:dyDescent="0.25">
      <c r="A90" s="16"/>
      <c r="B90" s="11"/>
      <c r="C90" s="11">
        <f>IF($B90="","",IFERROR(VLOOKUP($B90,Inquilinos!$A:$B,2,0),"ID inexistente"))</f>
      </c>
      <c r="D90" s="15">
        <f>IF($A90="","",MONTH($A90))</f>
      </c>
      <c r="E90" s="11"/>
      <c r="F90" s="7"/>
      <c r="G90" s="15"/>
      <c r="H90" s="15">
        <f>IF($F90="","",IF($G90="USD",$F90*TC,$F90))</f>
      </c>
      <c r="I90" s="19">
        <f>IF($F90="","",IF($G90="USD",$F90,$F90/TC))</f>
      </c>
      <c r="J90" s="11"/>
      <c r="K90" s="11"/>
      <c r="L90" s="11"/>
    </row>
    <row r="91" ht="22" customHeight="1" spans="1:12" x14ac:dyDescent="0.25">
      <c r="A91" s="16"/>
      <c r="B91" s="11"/>
      <c r="C91" s="11">
        <f>IF($B91="","",IFERROR(VLOOKUP($B91,Inquilinos!$A:$B,2,0),"ID inexistente"))</f>
      </c>
      <c r="D91" s="15">
        <f>IF($A91="","",MONTH($A91))</f>
      </c>
      <c r="E91" s="11"/>
      <c r="F91" s="7"/>
      <c r="G91" s="15"/>
      <c r="H91" s="15">
        <f>IF($F91="","",IF($G91="USD",$F91*TC,$F91))</f>
      </c>
      <c r="I91" s="19">
        <f>IF($F91="","",IF($G91="USD",$F91,$F91/TC))</f>
      </c>
      <c r="J91" s="11"/>
      <c r="K91" s="11"/>
      <c r="L91" s="11"/>
    </row>
    <row r="92" ht="22" customHeight="1" spans="1:12" x14ac:dyDescent="0.25">
      <c r="A92" s="16"/>
      <c r="B92" s="11"/>
      <c r="C92" s="11">
        <f>IF($B92="","",IFERROR(VLOOKUP($B92,Inquilinos!$A:$B,2,0),"ID inexistente"))</f>
      </c>
      <c r="D92" s="15">
        <f>IF($A92="","",MONTH($A92))</f>
      </c>
      <c r="E92" s="11"/>
      <c r="F92" s="7"/>
      <c r="G92" s="15"/>
      <c r="H92" s="15">
        <f>IF($F92="","",IF($G92="USD",$F92*TC,$F92))</f>
      </c>
      <c r="I92" s="19">
        <f>IF($F92="","",IF($G92="USD",$F92,$F92/TC))</f>
      </c>
      <c r="J92" s="11"/>
      <c r="K92" s="11"/>
      <c r="L92" s="11"/>
    </row>
    <row r="93" ht="22" customHeight="1" spans="1:12" x14ac:dyDescent="0.25">
      <c r="A93" s="16"/>
      <c r="B93" s="11"/>
      <c r="C93" s="11">
        <f>IF($B93="","",IFERROR(VLOOKUP($B93,Inquilinos!$A:$B,2,0),"ID inexistente"))</f>
      </c>
      <c r="D93" s="15">
        <f>IF($A93="","",MONTH($A93))</f>
      </c>
      <c r="E93" s="11"/>
      <c r="F93" s="7"/>
      <c r="G93" s="15"/>
      <c r="H93" s="15">
        <f>IF($F93="","",IF($G93="USD",$F93*TC,$F93))</f>
      </c>
      <c r="I93" s="19">
        <f>IF($F93="","",IF($G93="USD",$F93,$F93/TC))</f>
      </c>
      <c r="J93" s="11"/>
      <c r="K93" s="11"/>
      <c r="L93" s="11"/>
    </row>
    <row r="94" ht="22" customHeight="1" spans="1:12" x14ac:dyDescent="0.25">
      <c r="A94" s="16"/>
      <c r="B94" s="11"/>
      <c r="C94" s="11">
        <f>IF($B94="","",IFERROR(VLOOKUP($B94,Inquilinos!$A:$B,2,0),"ID inexistente"))</f>
      </c>
      <c r="D94" s="15">
        <f>IF($A94="","",MONTH($A94))</f>
      </c>
      <c r="E94" s="11"/>
      <c r="F94" s="7"/>
      <c r="G94" s="15"/>
      <c r="H94" s="15">
        <f>IF($F94="","",IF($G94="USD",$F94*TC,$F94))</f>
      </c>
      <c r="I94" s="19">
        <f>IF($F94="","",IF($G94="USD",$F94,$F94/TC))</f>
      </c>
      <c r="J94" s="11"/>
      <c r="K94" s="11"/>
      <c r="L94" s="11"/>
    </row>
    <row r="95" ht="22" customHeight="1" spans="1:12" x14ac:dyDescent="0.25">
      <c r="A95" s="16"/>
      <c r="B95" s="11"/>
      <c r="C95" s="11">
        <f>IF($B95="","",IFERROR(VLOOKUP($B95,Inquilinos!$A:$B,2,0),"ID inexistente"))</f>
      </c>
      <c r="D95" s="15">
        <f>IF($A95="","",MONTH($A95))</f>
      </c>
      <c r="E95" s="11"/>
      <c r="F95" s="7"/>
      <c r="G95" s="15"/>
      <c r="H95" s="15">
        <f>IF($F95="","",IF($G95="USD",$F95*TC,$F95))</f>
      </c>
      <c r="I95" s="19">
        <f>IF($F95="","",IF($G95="USD",$F95,$F95/TC))</f>
      </c>
      <c r="J95" s="11"/>
      <c r="K95" s="11"/>
      <c r="L95" s="11"/>
    </row>
    <row r="96" ht="22" customHeight="1" spans="1:12" x14ac:dyDescent="0.25">
      <c r="A96" s="16"/>
      <c r="B96" s="11"/>
      <c r="C96" s="11">
        <f>IF($B96="","",IFERROR(VLOOKUP($B96,Inquilinos!$A:$B,2,0),"ID inexistente"))</f>
      </c>
      <c r="D96" s="15">
        <f>IF($A96="","",MONTH($A96))</f>
      </c>
      <c r="E96" s="11"/>
      <c r="F96" s="7"/>
      <c r="G96" s="15"/>
      <c r="H96" s="15">
        <f>IF($F96="","",IF($G96="USD",$F96*TC,$F96))</f>
      </c>
      <c r="I96" s="19">
        <f>IF($F96="","",IF($G96="USD",$F96,$F96/TC))</f>
      </c>
      <c r="J96" s="11"/>
      <c r="K96" s="11"/>
      <c r="L96" s="11"/>
    </row>
    <row r="97" ht="22" customHeight="1" spans="1:12" x14ac:dyDescent="0.25">
      <c r="A97" s="16"/>
      <c r="B97" s="11"/>
      <c r="C97" s="11">
        <f>IF($B97="","",IFERROR(VLOOKUP($B97,Inquilinos!$A:$B,2,0),"ID inexistente"))</f>
      </c>
      <c r="D97" s="15">
        <f>IF($A97="","",MONTH($A97))</f>
      </c>
      <c r="E97" s="11"/>
      <c r="F97" s="7"/>
      <c r="G97" s="15"/>
      <c r="H97" s="15">
        <f>IF($F97="","",IF($G97="USD",$F97*TC,$F97))</f>
      </c>
      <c r="I97" s="19">
        <f>IF($F97="","",IF($G97="USD",$F97,$F97/TC))</f>
      </c>
      <c r="J97" s="11"/>
      <c r="K97" s="11"/>
      <c r="L97" s="11"/>
    </row>
    <row r="98" ht="22" customHeight="1" spans="1:12" x14ac:dyDescent="0.25">
      <c r="A98" s="16"/>
      <c r="B98" s="11"/>
      <c r="C98" s="11">
        <f>IF($B98="","",IFERROR(VLOOKUP($B98,Inquilinos!$A:$B,2,0),"ID inexistente"))</f>
      </c>
      <c r="D98" s="15">
        <f>IF($A98="","",MONTH($A98))</f>
      </c>
      <c r="E98" s="11"/>
      <c r="F98" s="7"/>
      <c r="G98" s="15"/>
      <c r="H98" s="15">
        <f>IF($F98="","",IF($G98="USD",$F98*TC,$F98))</f>
      </c>
      <c r="I98" s="19">
        <f>IF($F98="","",IF($G98="USD",$F98,$F98/TC))</f>
      </c>
      <c r="J98" s="11"/>
      <c r="K98" s="11"/>
      <c r="L98" s="11"/>
    </row>
    <row r="99" ht="22" customHeight="1" spans="1:12" x14ac:dyDescent="0.25">
      <c r="A99" s="16"/>
      <c r="B99" s="11"/>
      <c r="C99" s="11">
        <f>IF($B99="","",IFERROR(VLOOKUP($B99,Inquilinos!$A:$B,2,0),"ID inexistente"))</f>
      </c>
      <c r="D99" s="15">
        <f>IF($A99="","",MONTH($A99))</f>
      </c>
      <c r="E99" s="11"/>
      <c r="F99" s="7"/>
      <c r="G99" s="15"/>
      <c r="H99" s="15">
        <f>IF($F99="","",IF($G99="USD",$F99*TC,$F99))</f>
      </c>
      <c r="I99" s="19">
        <f>IF($F99="","",IF($G99="USD",$F99,$F99/TC))</f>
      </c>
      <c r="J99" s="11"/>
      <c r="K99" s="11"/>
      <c r="L99" s="11"/>
    </row>
    <row r="100" ht="22" customHeight="1" spans="1:12" x14ac:dyDescent="0.25">
      <c r="A100" s="16"/>
      <c r="B100" s="11"/>
      <c r="C100" s="11">
        <f>IF($B100="","",IFERROR(VLOOKUP($B100,Inquilinos!$A:$B,2,0),"ID inexistente"))</f>
      </c>
      <c r="D100" s="15">
        <f>IF($A100="","",MONTH($A100))</f>
      </c>
      <c r="E100" s="11"/>
      <c r="F100" s="7"/>
      <c r="G100" s="15"/>
      <c r="H100" s="15">
        <f>IF($F100="","",IF($G100="USD",$F100*TC,$F100))</f>
      </c>
      <c r="I100" s="19">
        <f>IF($F100="","",IF($G100="USD",$F100,$F100/TC))</f>
      </c>
      <c r="J100" s="11"/>
      <c r="K100" s="11"/>
      <c r="L100" s="11"/>
    </row>
    <row r="101" ht="22" customHeight="1" spans="1:12" x14ac:dyDescent="0.25">
      <c r="A101" s="16"/>
      <c r="B101" s="11"/>
      <c r="C101" s="11">
        <f>IF($B101="","",IFERROR(VLOOKUP($B101,Inquilinos!$A:$B,2,0),"ID inexistente"))</f>
      </c>
      <c r="D101" s="15">
        <f>IF($A101="","",MONTH($A101))</f>
      </c>
      <c r="E101" s="11"/>
      <c r="F101" s="7"/>
      <c r="G101" s="15"/>
      <c r="H101" s="15">
        <f>IF($F101="","",IF($G101="USD",$F101*TC,$F101))</f>
      </c>
      <c r="I101" s="19">
        <f>IF($F101="","",IF($G101="USD",$F101,$F101/TC))</f>
      </c>
      <c r="J101" s="11"/>
      <c r="K101" s="11"/>
      <c r="L101" s="11"/>
    </row>
    <row r="102" ht="22" customHeight="1" spans="1:12" x14ac:dyDescent="0.25">
      <c r="A102" s="16"/>
      <c r="B102" s="11"/>
      <c r="C102" s="11">
        <f>IF($B102="","",IFERROR(VLOOKUP($B102,Inquilinos!$A:$B,2,0),"ID inexistente"))</f>
      </c>
      <c r="D102" s="15">
        <f>IF($A102="","",MONTH($A102))</f>
      </c>
      <c r="E102" s="11"/>
      <c r="F102" s="7"/>
      <c r="G102" s="15"/>
      <c r="H102" s="15">
        <f>IF($F102="","",IF($G102="USD",$F102*TC,$F102))</f>
      </c>
      <c r="I102" s="19">
        <f>IF($F102="","",IF($G102="USD",$F102,$F102/TC))</f>
      </c>
      <c r="J102" s="11"/>
      <c r="K102" s="11"/>
      <c r="L102" s="11"/>
    </row>
    <row r="103" ht="22" customHeight="1" spans="1:12" x14ac:dyDescent="0.25">
      <c r="A103" s="16"/>
      <c r="B103" s="11"/>
      <c r="C103" s="11">
        <f>IF($B103="","",IFERROR(VLOOKUP($B103,Inquilinos!$A:$B,2,0),"ID inexistente"))</f>
      </c>
      <c r="D103" s="15">
        <f>IF($A103="","",MONTH($A103))</f>
      </c>
      <c r="E103" s="11"/>
      <c r="F103" s="7"/>
      <c r="G103" s="15"/>
      <c r="H103" s="15">
        <f>IF($F103="","",IF($G103="USD",$F103*TC,$F103))</f>
      </c>
      <c r="I103" s="19">
        <f>IF($F103="","",IF($G103="USD",$F103,$F103/TC))</f>
      </c>
      <c r="J103" s="11"/>
      <c r="K103" s="11"/>
      <c r="L103" s="11"/>
    </row>
    <row r="104" ht="22" customHeight="1" spans="1:12" x14ac:dyDescent="0.25">
      <c r="A104" s="16"/>
      <c r="B104" s="11"/>
      <c r="C104" s="11">
        <f>IF($B104="","",IFERROR(VLOOKUP($B104,Inquilinos!$A:$B,2,0),"ID inexistente"))</f>
      </c>
      <c r="D104" s="15">
        <f>IF($A104="","",MONTH($A104))</f>
      </c>
      <c r="E104" s="11"/>
      <c r="F104" s="7"/>
      <c r="G104" s="15"/>
      <c r="H104" s="15">
        <f>IF($F104="","",IF($G104="USD",$F104*TC,$F104))</f>
      </c>
      <c r="I104" s="19">
        <f>IF($F104="","",IF($G104="USD",$F104,$F104/TC))</f>
      </c>
      <c r="J104" s="11"/>
      <c r="K104" s="11"/>
      <c r="L104" s="11"/>
    </row>
    <row r="105" ht="22" customHeight="1" spans="1:12" x14ac:dyDescent="0.25">
      <c r="A105" s="16"/>
      <c r="B105" s="11"/>
      <c r="C105" s="11">
        <f>IF($B105="","",IFERROR(VLOOKUP($B105,Inquilinos!$A:$B,2,0),"ID inexistente"))</f>
      </c>
      <c r="D105" s="15">
        <f>IF($A105="","",MONTH($A105))</f>
      </c>
      <c r="E105" s="11"/>
      <c r="F105" s="7"/>
      <c r="G105" s="15"/>
      <c r="H105" s="15">
        <f>IF($F105="","",IF($G105="USD",$F105*TC,$F105))</f>
      </c>
      <c r="I105" s="19">
        <f>IF($F105="","",IF($G105="USD",$F105,$F105/TC))</f>
      </c>
      <c r="J105" s="11"/>
      <c r="K105" s="11"/>
      <c r="L105" s="11"/>
    </row>
    <row r="106" ht="22" customHeight="1" spans="1:12" x14ac:dyDescent="0.25">
      <c r="A106" s="16"/>
      <c r="B106" s="11"/>
      <c r="C106" s="11">
        <f>IF($B106="","",IFERROR(VLOOKUP($B106,Inquilinos!$A:$B,2,0),"ID inexistente"))</f>
      </c>
      <c r="D106" s="15">
        <f>IF($A106="","",MONTH($A106))</f>
      </c>
      <c r="E106" s="11"/>
      <c r="F106" s="7"/>
      <c r="G106" s="15"/>
      <c r="H106" s="15">
        <f>IF($F106="","",IF($G106="USD",$F106*TC,$F106))</f>
      </c>
      <c r="I106" s="19">
        <f>IF($F106="","",IF($G106="USD",$F106,$F106/TC))</f>
      </c>
      <c r="J106" s="11"/>
      <c r="K106" s="11"/>
      <c r="L106" s="11"/>
    </row>
    <row r="107" ht="22" customHeight="1" spans="1:12" x14ac:dyDescent="0.25">
      <c r="A107" s="16"/>
      <c r="B107" s="11"/>
      <c r="C107" s="11">
        <f>IF($B107="","",IFERROR(VLOOKUP($B107,Inquilinos!$A:$B,2,0),"ID inexistente"))</f>
      </c>
      <c r="D107" s="15">
        <f>IF($A107="","",MONTH($A107))</f>
      </c>
      <c r="E107" s="11"/>
      <c r="F107" s="7"/>
      <c r="G107" s="15"/>
      <c r="H107" s="15">
        <f>IF($F107="","",IF($G107="USD",$F107*TC,$F107))</f>
      </c>
      <c r="I107" s="19">
        <f>IF($F107="","",IF($G107="USD",$F107,$F107/TC))</f>
      </c>
      <c r="J107" s="11"/>
      <c r="K107" s="11"/>
      <c r="L107" s="11"/>
    </row>
    <row r="108" ht="22" customHeight="1" spans="1:12" x14ac:dyDescent="0.25">
      <c r="A108" s="16"/>
      <c r="B108" s="11"/>
      <c r="C108" s="11">
        <f>IF($B108="","",IFERROR(VLOOKUP($B108,Inquilinos!$A:$B,2,0),"ID inexistente"))</f>
      </c>
      <c r="D108" s="15">
        <f>IF($A108="","",MONTH($A108))</f>
      </c>
      <c r="E108" s="11"/>
      <c r="F108" s="7"/>
      <c r="G108" s="15"/>
      <c r="H108" s="15">
        <f>IF($F108="","",IF($G108="USD",$F108*TC,$F108))</f>
      </c>
      <c r="I108" s="19">
        <f>IF($F108="","",IF($G108="USD",$F108,$F108/TC))</f>
      </c>
      <c r="J108" s="11"/>
      <c r="K108" s="11"/>
      <c r="L108" s="11"/>
    </row>
    <row r="109" ht="22" customHeight="1" spans="1:12" x14ac:dyDescent="0.25">
      <c r="A109" s="16"/>
      <c r="B109" s="11"/>
      <c r="C109" s="11">
        <f>IF($B109="","",IFERROR(VLOOKUP($B109,Inquilinos!$A:$B,2,0),"ID inexistente"))</f>
      </c>
      <c r="D109" s="15">
        <f>IF($A109="","",MONTH($A109))</f>
      </c>
      <c r="E109" s="11"/>
      <c r="F109" s="7"/>
      <c r="G109" s="15"/>
      <c r="H109" s="15">
        <f>IF($F109="","",IF($G109="USD",$F109*TC,$F109))</f>
      </c>
      <c r="I109" s="19">
        <f>IF($F109="","",IF($G109="USD",$F109,$F109/TC))</f>
      </c>
      <c r="J109" s="11"/>
      <c r="K109" s="11"/>
      <c r="L109" s="11"/>
    </row>
    <row r="110" ht="22" customHeight="1" spans="1:12" x14ac:dyDescent="0.25">
      <c r="A110" s="16"/>
      <c r="B110" s="11"/>
      <c r="C110" s="11">
        <f>IF($B110="","",IFERROR(VLOOKUP($B110,Inquilinos!$A:$B,2,0),"ID inexistente"))</f>
      </c>
      <c r="D110" s="15">
        <f>IF($A110="","",MONTH($A110))</f>
      </c>
      <c r="E110" s="11"/>
      <c r="F110" s="7"/>
      <c r="G110" s="15"/>
      <c r="H110" s="15">
        <f>IF($F110="","",IF($G110="USD",$F110*TC,$F110))</f>
      </c>
      <c r="I110" s="19">
        <f>IF($F110="","",IF($G110="USD",$F110,$F110/TC))</f>
      </c>
      <c r="J110" s="11"/>
      <c r="K110" s="11"/>
      <c r="L110" s="11"/>
    </row>
    <row r="111" ht="22" customHeight="1" spans="1:12" x14ac:dyDescent="0.25">
      <c r="A111" s="16"/>
      <c r="B111" s="11"/>
      <c r="C111" s="11">
        <f>IF($B111="","",IFERROR(VLOOKUP($B111,Inquilinos!$A:$B,2,0),"ID inexistente"))</f>
      </c>
      <c r="D111" s="15">
        <f>IF($A111="","",MONTH($A111))</f>
      </c>
      <c r="E111" s="11"/>
      <c r="F111" s="7"/>
      <c r="G111" s="15"/>
      <c r="H111" s="15">
        <f>IF($F111="","",IF($G111="USD",$F111*TC,$F111))</f>
      </c>
      <c r="I111" s="19">
        <f>IF($F111="","",IF($G111="USD",$F111,$F111/TC))</f>
      </c>
      <c r="J111" s="11"/>
      <c r="K111" s="11"/>
      <c r="L111" s="11"/>
    </row>
    <row r="112" ht="22" customHeight="1" spans="1:12" x14ac:dyDescent="0.25">
      <c r="A112" s="16"/>
      <c r="B112" s="11"/>
      <c r="C112" s="11">
        <f>IF($B112="","",IFERROR(VLOOKUP($B112,Inquilinos!$A:$B,2,0),"ID inexistente"))</f>
      </c>
      <c r="D112" s="15">
        <f>IF($A112="","",MONTH($A112))</f>
      </c>
      <c r="E112" s="11"/>
      <c r="F112" s="7"/>
      <c r="G112" s="15"/>
      <c r="H112" s="15">
        <f>IF($F112="","",IF($G112="USD",$F112*TC,$F112))</f>
      </c>
      <c r="I112" s="19">
        <f>IF($F112="","",IF($G112="USD",$F112,$F112/TC))</f>
      </c>
      <c r="J112" s="11"/>
      <c r="K112" s="11"/>
      <c r="L112" s="11"/>
    </row>
    <row r="113" ht="22" customHeight="1" spans="1:12" x14ac:dyDescent="0.25">
      <c r="A113" s="16"/>
      <c r="B113" s="11"/>
      <c r="C113" s="11">
        <f>IF($B113="","",IFERROR(VLOOKUP($B113,Inquilinos!$A:$B,2,0),"ID inexistente"))</f>
      </c>
      <c r="D113" s="15">
        <f>IF($A113="","",MONTH($A113))</f>
      </c>
      <c r="E113" s="11"/>
      <c r="F113" s="7"/>
      <c r="G113" s="15"/>
      <c r="H113" s="15">
        <f>IF($F113="","",IF($G113="USD",$F113*TC,$F113))</f>
      </c>
      <c r="I113" s="19">
        <f>IF($F113="","",IF($G113="USD",$F113,$F113/TC))</f>
      </c>
      <c r="J113" s="11"/>
      <c r="K113" s="11"/>
      <c r="L113" s="11"/>
    </row>
    <row r="114" ht="22" customHeight="1" spans="1:12" x14ac:dyDescent="0.25">
      <c r="A114" s="16"/>
      <c r="B114" s="11"/>
      <c r="C114" s="11">
        <f>IF($B114="","",IFERROR(VLOOKUP($B114,Inquilinos!$A:$B,2,0),"ID inexistente"))</f>
      </c>
      <c r="D114" s="15">
        <f>IF($A114="","",MONTH($A114))</f>
      </c>
      <c r="E114" s="11"/>
      <c r="F114" s="7"/>
      <c r="G114" s="15"/>
      <c r="H114" s="15">
        <f>IF($F114="","",IF($G114="USD",$F114*TC,$F114))</f>
      </c>
      <c r="I114" s="19">
        <f>IF($F114="","",IF($G114="USD",$F114,$F114/TC))</f>
      </c>
      <c r="J114" s="11"/>
      <c r="K114" s="11"/>
      <c r="L114" s="11"/>
    </row>
    <row r="115" ht="22" customHeight="1" spans="1:12" x14ac:dyDescent="0.25">
      <c r="A115" s="16"/>
      <c r="B115" s="11"/>
      <c r="C115" s="11">
        <f>IF($B115="","",IFERROR(VLOOKUP($B115,Inquilinos!$A:$B,2,0),"ID inexistente"))</f>
      </c>
      <c r="D115" s="15">
        <f>IF($A115="","",MONTH($A115))</f>
      </c>
      <c r="E115" s="11"/>
      <c r="F115" s="7"/>
      <c r="G115" s="15"/>
      <c r="H115" s="15">
        <f>IF($F115="","",IF($G115="USD",$F115*TC,$F115))</f>
      </c>
      <c r="I115" s="19">
        <f>IF($F115="","",IF($G115="USD",$F115,$F115/TC))</f>
      </c>
      <c r="J115" s="11"/>
      <c r="K115" s="11"/>
      <c r="L115" s="11"/>
    </row>
    <row r="116" ht="22" customHeight="1" spans="1:12" x14ac:dyDescent="0.25">
      <c r="A116" s="16"/>
      <c r="B116" s="11"/>
      <c r="C116" s="11">
        <f>IF($B116="","",IFERROR(VLOOKUP($B116,Inquilinos!$A:$B,2,0),"ID inexistente"))</f>
      </c>
      <c r="D116" s="15">
        <f>IF($A116="","",MONTH($A116))</f>
      </c>
      <c r="E116" s="11"/>
      <c r="F116" s="7"/>
      <c r="G116" s="15"/>
      <c r="H116" s="15">
        <f>IF($F116="","",IF($G116="USD",$F116*TC,$F116))</f>
      </c>
      <c r="I116" s="19">
        <f>IF($F116="","",IF($G116="USD",$F116,$F116/TC))</f>
      </c>
      <c r="J116" s="11"/>
      <c r="K116" s="11"/>
      <c r="L116" s="11"/>
    </row>
    <row r="117" ht="22" customHeight="1" spans="1:12" x14ac:dyDescent="0.25">
      <c r="A117" s="16"/>
      <c r="B117" s="11"/>
      <c r="C117" s="11">
        <f>IF($B117="","",IFERROR(VLOOKUP($B117,Inquilinos!$A:$B,2,0),"ID inexistente"))</f>
      </c>
      <c r="D117" s="15">
        <f>IF($A117="","",MONTH($A117))</f>
      </c>
      <c r="E117" s="11"/>
      <c r="F117" s="7"/>
      <c r="G117" s="15"/>
      <c r="H117" s="15">
        <f>IF($F117="","",IF($G117="USD",$F117*TC,$F117))</f>
      </c>
      <c r="I117" s="19">
        <f>IF($F117="","",IF($G117="USD",$F117,$F117/TC))</f>
      </c>
      <c r="J117" s="11"/>
      <c r="K117" s="11"/>
      <c r="L117" s="11"/>
    </row>
    <row r="118" ht="22" customHeight="1" spans="1:12" x14ac:dyDescent="0.25">
      <c r="A118" s="16"/>
      <c r="B118" s="11"/>
      <c r="C118" s="11">
        <f>IF($B118="","",IFERROR(VLOOKUP($B118,Inquilinos!$A:$B,2,0),"ID inexistente"))</f>
      </c>
      <c r="D118" s="15">
        <f>IF($A118="","",MONTH($A118))</f>
      </c>
      <c r="E118" s="11"/>
      <c r="F118" s="7"/>
      <c r="G118" s="15"/>
      <c r="H118" s="15">
        <f>IF($F118="","",IF($G118="USD",$F118*TC,$F118))</f>
      </c>
      <c r="I118" s="19">
        <f>IF($F118="","",IF($G118="USD",$F118,$F118/TC))</f>
      </c>
      <c r="J118" s="11"/>
      <c r="K118" s="11"/>
      <c r="L118" s="11"/>
    </row>
    <row r="119" ht="22" customHeight="1" spans="1:12" x14ac:dyDescent="0.25">
      <c r="A119" s="16"/>
      <c r="B119" s="11"/>
      <c r="C119" s="11">
        <f>IF($B119="","",IFERROR(VLOOKUP($B119,Inquilinos!$A:$B,2,0),"ID inexistente"))</f>
      </c>
      <c r="D119" s="15">
        <f>IF($A119="","",MONTH($A119))</f>
      </c>
      <c r="E119" s="11"/>
      <c r="F119" s="7"/>
      <c r="G119" s="15"/>
      <c r="H119" s="15">
        <f>IF($F119="","",IF($G119="USD",$F119*TC,$F119))</f>
      </c>
      <c r="I119" s="19">
        <f>IF($F119="","",IF($G119="USD",$F119,$F119/TC))</f>
      </c>
      <c r="J119" s="11"/>
      <c r="K119" s="11"/>
      <c r="L119" s="11"/>
    </row>
    <row r="120" ht="22" customHeight="1" spans="1:12" x14ac:dyDescent="0.25">
      <c r="A120" s="16"/>
      <c r="B120" s="11"/>
      <c r="C120" s="11">
        <f>IF($B120="","",IFERROR(VLOOKUP($B120,Inquilinos!$A:$B,2,0),"ID inexistente"))</f>
      </c>
      <c r="D120" s="15">
        <f>IF($A120="","",MONTH($A120))</f>
      </c>
      <c r="E120" s="11"/>
      <c r="F120" s="7"/>
      <c r="G120" s="15"/>
      <c r="H120" s="15">
        <f>IF($F120="","",IF($G120="USD",$F120*TC,$F120))</f>
      </c>
      <c r="I120" s="19">
        <f>IF($F120="","",IF($G120="USD",$F120,$F120/TC))</f>
      </c>
      <c r="J120" s="11"/>
      <c r="K120" s="11"/>
      <c r="L120" s="11"/>
    </row>
    <row r="121" ht="22" customHeight="1" spans="1:12" x14ac:dyDescent="0.25">
      <c r="A121" s="16"/>
      <c r="B121" s="11"/>
      <c r="C121" s="11">
        <f>IF($B121="","",IFERROR(VLOOKUP($B121,Inquilinos!$A:$B,2,0),"ID inexistente"))</f>
      </c>
      <c r="D121" s="15">
        <f>IF($A121="","",MONTH($A121))</f>
      </c>
      <c r="E121" s="11"/>
      <c r="F121" s="7"/>
      <c r="G121" s="15"/>
      <c r="H121" s="15">
        <f>IF($F121="","",IF($G121="USD",$F121*TC,$F121))</f>
      </c>
      <c r="I121" s="19">
        <f>IF($F121="","",IF($G121="USD",$F121,$F121/TC))</f>
      </c>
      <c r="J121" s="11"/>
      <c r="K121" s="11"/>
      <c r="L121" s="11"/>
    </row>
    <row r="122" ht="22" customHeight="1" spans="1:12" x14ac:dyDescent="0.25">
      <c r="A122" s="16"/>
      <c r="B122" s="11"/>
      <c r="C122" s="11">
        <f>IF($B122="","",IFERROR(VLOOKUP($B122,Inquilinos!$A:$B,2,0),"ID inexistente"))</f>
      </c>
      <c r="D122" s="15">
        <f>IF($A122="","",MONTH($A122))</f>
      </c>
      <c r="E122" s="11"/>
      <c r="F122" s="7"/>
      <c r="G122" s="15"/>
      <c r="H122" s="15">
        <f>IF($F122="","",IF($G122="USD",$F122*TC,$F122))</f>
      </c>
      <c r="I122" s="19">
        <f>IF($F122="","",IF($G122="USD",$F122,$F122/TC))</f>
      </c>
      <c r="J122" s="11"/>
      <c r="K122" s="11"/>
      <c r="L122" s="11"/>
    </row>
    <row r="123" ht="22" customHeight="1" spans="1:12" x14ac:dyDescent="0.25">
      <c r="A123" s="16"/>
      <c r="B123" s="11"/>
      <c r="C123" s="11">
        <f>IF($B123="","",IFERROR(VLOOKUP($B123,Inquilinos!$A:$B,2,0),"ID inexistente"))</f>
      </c>
      <c r="D123" s="15">
        <f>IF($A123="","",MONTH($A123))</f>
      </c>
      <c r="E123" s="11"/>
      <c r="F123" s="7"/>
      <c r="G123" s="15"/>
      <c r="H123" s="15">
        <f>IF($F123="","",IF($G123="USD",$F123*TC,$F123))</f>
      </c>
      <c r="I123" s="19">
        <f>IF($F123="","",IF($G123="USD",$F123,$F123/TC))</f>
      </c>
      <c r="J123" s="11"/>
      <c r="K123" s="11"/>
      <c r="L123" s="11"/>
    </row>
    <row r="124" ht="22" customHeight="1" spans="1:12" x14ac:dyDescent="0.25">
      <c r="A124" s="16"/>
      <c r="B124" s="11"/>
      <c r="C124" s="11">
        <f>IF($B124="","",IFERROR(VLOOKUP($B124,Inquilinos!$A:$B,2,0),"ID inexistente"))</f>
      </c>
      <c r="D124" s="15">
        <f>IF($A124="","",MONTH($A124))</f>
      </c>
      <c r="E124" s="11"/>
      <c r="F124" s="7"/>
      <c r="G124" s="15"/>
      <c r="H124" s="15">
        <f>IF($F124="","",IF($G124="USD",$F124*TC,$F124))</f>
      </c>
      <c r="I124" s="19">
        <f>IF($F124="","",IF($G124="USD",$F124,$F124/TC))</f>
      </c>
      <c r="J124" s="11"/>
      <c r="K124" s="11"/>
      <c r="L124" s="11"/>
    </row>
    <row r="125" ht="22" customHeight="1" spans="1:12" x14ac:dyDescent="0.25">
      <c r="A125" s="16"/>
      <c r="B125" s="11"/>
      <c r="C125" s="11">
        <f>IF($B125="","",IFERROR(VLOOKUP($B125,Inquilinos!$A:$B,2,0),"ID inexistente"))</f>
      </c>
      <c r="D125" s="15">
        <f>IF($A125="","",MONTH($A125))</f>
      </c>
      <c r="E125" s="11"/>
      <c r="F125" s="7"/>
      <c r="G125" s="15"/>
      <c r="H125" s="15">
        <f>IF($F125="","",IF($G125="USD",$F125*TC,$F125))</f>
      </c>
      <c r="I125" s="19">
        <f>IF($F125="","",IF($G125="USD",$F125,$F125/TC))</f>
      </c>
      <c r="J125" s="11"/>
      <c r="K125" s="11"/>
      <c r="L125" s="11"/>
    </row>
    <row r="126" ht="22" customHeight="1" spans="1:12" x14ac:dyDescent="0.25">
      <c r="A126" s="16"/>
      <c r="B126" s="11"/>
      <c r="C126" s="11">
        <f>IF($B126="","",IFERROR(VLOOKUP($B126,Inquilinos!$A:$B,2,0),"ID inexistente"))</f>
      </c>
      <c r="D126" s="15">
        <f>IF($A126="","",MONTH($A126))</f>
      </c>
      <c r="E126" s="11"/>
      <c r="F126" s="7"/>
      <c r="G126" s="15"/>
      <c r="H126" s="15">
        <f>IF($F126="","",IF($G126="USD",$F126*TC,$F126))</f>
      </c>
      <c r="I126" s="19">
        <f>IF($F126="","",IF($G126="USD",$F126,$F126/TC))</f>
      </c>
      <c r="J126" s="11"/>
      <c r="K126" s="11"/>
      <c r="L126" s="11"/>
    </row>
    <row r="127" ht="22" customHeight="1" spans="1:12" x14ac:dyDescent="0.25">
      <c r="A127" s="16"/>
      <c r="B127" s="11"/>
      <c r="C127" s="11">
        <f>IF($B127="","",IFERROR(VLOOKUP($B127,Inquilinos!$A:$B,2,0),"ID inexistente"))</f>
      </c>
      <c r="D127" s="15">
        <f>IF($A127="","",MONTH($A127))</f>
      </c>
      <c r="E127" s="11"/>
      <c r="F127" s="7"/>
      <c r="G127" s="15"/>
      <c r="H127" s="15">
        <f>IF($F127="","",IF($G127="USD",$F127*TC,$F127))</f>
      </c>
      <c r="I127" s="19">
        <f>IF($F127="","",IF($G127="USD",$F127,$F127/TC))</f>
      </c>
      <c r="J127" s="11"/>
      <c r="K127" s="11"/>
      <c r="L127" s="11"/>
    </row>
    <row r="128" ht="22" customHeight="1" spans="1:12" x14ac:dyDescent="0.25">
      <c r="A128" s="16"/>
      <c r="B128" s="11"/>
      <c r="C128" s="11">
        <f>IF($B128="","",IFERROR(VLOOKUP($B128,Inquilinos!$A:$B,2,0),"ID inexistente"))</f>
      </c>
      <c r="D128" s="15">
        <f>IF($A128="","",MONTH($A128))</f>
      </c>
      <c r="E128" s="11"/>
      <c r="F128" s="7"/>
      <c r="G128" s="15"/>
      <c r="H128" s="15">
        <f>IF($F128="","",IF($G128="USD",$F128*TC,$F128))</f>
      </c>
      <c r="I128" s="19">
        <f>IF($F128="","",IF($G128="USD",$F128,$F128/TC))</f>
      </c>
      <c r="J128" s="11"/>
      <c r="K128" s="11"/>
      <c r="L128" s="11"/>
    </row>
    <row r="129" ht="22" customHeight="1" spans="1:12" x14ac:dyDescent="0.25">
      <c r="A129" s="16"/>
      <c r="B129" s="11"/>
      <c r="C129" s="11">
        <f>IF($B129="","",IFERROR(VLOOKUP($B129,Inquilinos!$A:$B,2,0),"ID inexistente"))</f>
      </c>
      <c r="D129" s="15">
        <f>IF($A129="","",MONTH($A129))</f>
      </c>
      <c r="E129" s="11"/>
      <c r="F129" s="7"/>
      <c r="G129" s="15"/>
      <c r="H129" s="15">
        <f>IF($F129="","",IF($G129="USD",$F129*TC,$F129))</f>
      </c>
      <c r="I129" s="19">
        <f>IF($F129="","",IF($G129="USD",$F129,$F129/TC))</f>
      </c>
      <c r="J129" s="11"/>
      <c r="K129" s="11"/>
      <c r="L129" s="11"/>
    </row>
    <row r="130" ht="22" customHeight="1" spans="1:12" x14ac:dyDescent="0.25">
      <c r="A130" s="16"/>
      <c r="B130" s="11"/>
      <c r="C130" s="11">
        <f>IF($B130="","",IFERROR(VLOOKUP($B130,Inquilinos!$A:$B,2,0),"ID inexistente"))</f>
      </c>
      <c r="D130" s="15">
        <f>IF($A130="","",MONTH($A130))</f>
      </c>
      <c r="E130" s="11"/>
      <c r="F130" s="7"/>
      <c r="G130" s="15"/>
      <c r="H130" s="15">
        <f>IF($F130="","",IF($G130="USD",$F130*TC,$F130))</f>
      </c>
      <c r="I130" s="19">
        <f>IF($F130="","",IF($G130="USD",$F130,$F130/TC))</f>
      </c>
      <c r="J130" s="11"/>
      <c r="K130" s="11"/>
      <c r="L130" s="11"/>
    </row>
    <row r="131" ht="22" customHeight="1" spans="1:12" x14ac:dyDescent="0.25">
      <c r="A131" s="16"/>
      <c r="B131" s="11"/>
      <c r="C131" s="11">
        <f>IF($B131="","",IFERROR(VLOOKUP($B131,Inquilinos!$A:$B,2,0),"ID inexistente"))</f>
      </c>
      <c r="D131" s="15">
        <f>IF($A131="","",MONTH($A131))</f>
      </c>
      <c r="E131" s="11"/>
      <c r="F131" s="7"/>
      <c r="G131" s="15"/>
      <c r="H131" s="15">
        <f>IF($F131="","",IF($G131="USD",$F131*TC,$F131))</f>
      </c>
      <c r="I131" s="19">
        <f>IF($F131="","",IF($G131="USD",$F131,$F131/TC))</f>
      </c>
      <c r="J131" s="11"/>
      <c r="K131" s="11"/>
      <c r="L131" s="11"/>
    </row>
    <row r="132" ht="22" customHeight="1" spans="1:12" x14ac:dyDescent="0.25">
      <c r="A132" s="16"/>
      <c r="B132" s="11"/>
      <c r="C132" s="11">
        <f>IF($B132="","",IFERROR(VLOOKUP($B132,Inquilinos!$A:$B,2,0),"ID inexistente"))</f>
      </c>
      <c r="D132" s="15">
        <f>IF($A132="","",MONTH($A132))</f>
      </c>
      <c r="E132" s="11"/>
      <c r="F132" s="7"/>
      <c r="G132" s="15"/>
      <c r="H132" s="15">
        <f>IF($F132="","",IF($G132="USD",$F132*TC,$F132))</f>
      </c>
      <c r="I132" s="19">
        <f>IF($F132="","",IF($G132="USD",$F132,$F132/TC))</f>
      </c>
      <c r="J132" s="11"/>
      <c r="K132" s="11"/>
      <c r="L132" s="11"/>
    </row>
    <row r="133" ht="22" customHeight="1" spans="1:12" x14ac:dyDescent="0.25">
      <c r="A133" s="16"/>
      <c r="B133" s="11"/>
      <c r="C133" s="11">
        <f>IF($B133="","",IFERROR(VLOOKUP($B133,Inquilinos!$A:$B,2,0),"ID inexistente"))</f>
      </c>
      <c r="D133" s="15">
        <f>IF($A133="","",MONTH($A133))</f>
      </c>
      <c r="E133" s="11"/>
      <c r="F133" s="7"/>
      <c r="G133" s="15"/>
      <c r="H133" s="15">
        <f>IF($F133="","",IF($G133="USD",$F133*TC,$F133))</f>
      </c>
      <c r="I133" s="19">
        <f>IF($F133="","",IF($G133="USD",$F133,$F133/TC))</f>
      </c>
      <c r="J133" s="11"/>
      <c r="K133" s="11"/>
      <c r="L133" s="11"/>
    </row>
    <row r="134" ht="22" customHeight="1" spans="1:12" x14ac:dyDescent="0.25">
      <c r="A134" s="16"/>
      <c r="B134" s="11"/>
      <c r="C134" s="11">
        <f>IF($B134="","",IFERROR(VLOOKUP($B134,Inquilinos!$A:$B,2,0),"ID inexistente"))</f>
      </c>
      <c r="D134" s="15">
        <f>IF($A134="","",MONTH($A134))</f>
      </c>
      <c r="E134" s="11"/>
      <c r="F134" s="7"/>
      <c r="G134" s="15"/>
      <c r="H134" s="15">
        <f>IF($F134="","",IF($G134="USD",$F134*TC,$F134))</f>
      </c>
      <c r="I134" s="19">
        <f>IF($F134="","",IF($G134="USD",$F134,$F134/TC))</f>
      </c>
      <c r="J134" s="11"/>
      <c r="K134" s="11"/>
      <c r="L134" s="11"/>
    </row>
    <row r="135" ht="22" customHeight="1" spans="1:12" x14ac:dyDescent="0.25">
      <c r="A135" s="16"/>
      <c r="B135" s="11"/>
      <c r="C135" s="11">
        <f>IF($B135="","",IFERROR(VLOOKUP($B135,Inquilinos!$A:$B,2,0),"ID inexistente"))</f>
      </c>
      <c r="D135" s="15">
        <f>IF($A135="","",MONTH($A135))</f>
      </c>
      <c r="E135" s="11"/>
      <c r="F135" s="7"/>
      <c r="G135" s="15"/>
      <c r="H135" s="15">
        <f>IF($F135="","",IF($G135="USD",$F135*TC,$F135))</f>
      </c>
      <c r="I135" s="19">
        <f>IF($F135="","",IF($G135="USD",$F135,$F135/TC))</f>
      </c>
      <c r="J135" s="11"/>
      <c r="K135" s="11"/>
      <c r="L135" s="11"/>
    </row>
    <row r="136" ht="22" customHeight="1" spans="1:12" x14ac:dyDescent="0.25">
      <c r="A136" s="16"/>
      <c r="B136" s="11"/>
      <c r="C136" s="11">
        <f>IF($B136="","",IFERROR(VLOOKUP($B136,Inquilinos!$A:$B,2,0),"ID inexistente"))</f>
      </c>
      <c r="D136" s="15">
        <f>IF($A136="","",MONTH($A136))</f>
      </c>
      <c r="E136" s="11"/>
      <c r="F136" s="7"/>
      <c r="G136" s="15"/>
      <c r="H136" s="15">
        <f>IF($F136="","",IF($G136="USD",$F136*TC,$F136))</f>
      </c>
      <c r="I136" s="19">
        <f>IF($F136="","",IF($G136="USD",$F136,$F136/TC))</f>
      </c>
      <c r="J136" s="11"/>
      <c r="K136" s="11"/>
      <c r="L136" s="11"/>
    </row>
    <row r="137" ht="22" customHeight="1" spans="1:12" x14ac:dyDescent="0.25">
      <c r="A137" s="16"/>
      <c r="B137" s="11"/>
      <c r="C137" s="11">
        <f>IF($B137="","",IFERROR(VLOOKUP($B137,Inquilinos!$A:$B,2,0),"ID inexistente"))</f>
      </c>
      <c r="D137" s="15">
        <f>IF($A137="","",MONTH($A137))</f>
      </c>
      <c r="E137" s="11"/>
      <c r="F137" s="7"/>
      <c r="G137" s="15"/>
      <c r="H137" s="15">
        <f>IF($F137="","",IF($G137="USD",$F137*TC,$F137))</f>
      </c>
      <c r="I137" s="19">
        <f>IF($F137="","",IF($G137="USD",$F137,$F137/TC))</f>
      </c>
      <c r="J137" s="11"/>
      <c r="K137" s="11"/>
      <c r="L137" s="11"/>
    </row>
    <row r="138" ht="22" customHeight="1" spans="1:12" x14ac:dyDescent="0.25">
      <c r="A138" s="16"/>
      <c r="B138" s="11"/>
      <c r="C138" s="11">
        <f>IF($B138="","",IFERROR(VLOOKUP($B138,Inquilinos!$A:$B,2,0),"ID inexistente"))</f>
      </c>
      <c r="D138" s="15">
        <f>IF($A138="","",MONTH($A138))</f>
      </c>
      <c r="E138" s="11"/>
      <c r="F138" s="7"/>
      <c r="G138" s="15"/>
      <c r="H138" s="15">
        <f>IF($F138="","",IF($G138="USD",$F138*TC,$F138))</f>
      </c>
      <c r="I138" s="19">
        <f>IF($F138="","",IF($G138="USD",$F138,$F138/TC))</f>
      </c>
      <c r="J138" s="11"/>
      <c r="K138" s="11"/>
      <c r="L138" s="11"/>
    </row>
    <row r="139" ht="22" customHeight="1" spans="1:12" x14ac:dyDescent="0.25">
      <c r="A139" s="16"/>
      <c r="B139" s="11"/>
      <c r="C139" s="11">
        <f>IF($B139="","",IFERROR(VLOOKUP($B139,Inquilinos!$A:$B,2,0),"ID inexistente"))</f>
      </c>
      <c r="D139" s="15">
        <f>IF($A139="","",MONTH($A139))</f>
      </c>
      <c r="E139" s="11"/>
      <c r="F139" s="7"/>
      <c r="G139" s="15"/>
      <c r="H139" s="15">
        <f>IF($F139="","",IF($G139="USD",$F139*TC,$F139))</f>
      </c>
      <c r="I139" s="19">
        <f>IF($F139="","",IF($G139="USD",$F139,$F139/TC))</f>
      </c>
      <c r="J139" s="11"/>
      <c r="K139" s="11"/>
      <c r="L139" s="11"/>
    </row>
    <row r="140" ht="22" customHeight="1" spans="1:12" x14ac:dyDescent="0.25">
      <c r="A140" s="16"/>
      <c r="B140" s="11"/>
      <c r="C140" s="11">
        <f>IF($B140="","",IFERROR(VLOOKUP($B140,Inquilinos!$A:$B,2,0),"ID inexistente"))</f>
      </c>
      <c r="D140" s="15">
        <f>IF($A140="","",MONTH($A140))</f>
      </c>
      <c r="E140" s="11"/>
      <c r="F140" s="7"/>
      <c r="G140" s="15"/>
      <c r="H140" s="15">
        <f>IF($F140="","",IF($G140="USD",$F140*TC,$F140))</f>
      </c>
      <c r="I140" s="19">
        <f>IF($F140="","",IF($G140="USD",$F140,$F140/TC))</f>
      </c>
      <c r="J140" s="11"/>
      <c r="K140" s="11"/>
      <c r="L140" s="11"/>
    </row>
    <row r="141" ht="22" customHeight="1" spans="1:12" x14ac:dyDescent="0.25">
      <c r="A141" s="16"/>
      <c r="B141" s="11"/>
      <c r="C141" s="11">
        <f>IF($B141="","",IFERROR(VLOOKUP($B141,Inquilinos!$A:$B,2,0),"ID inexistente"))</f>
      </c>
      <c r="D141" s="15">
        <f>IF($A141="","",MONTH($A141))</f>
      </c>
      <c r="E141" s="11"/>
      <c r="F141" s="7"/>
      <c r="G141" s="15"/>
      <c r="H141" s="15">
        <f>IF($F141="","",IF($G141="USD",$F141*TC,$F141))</f>
      </c>
      <c r="I141" s="19">
        <f>IF($F141="","",IF($G141="USD",$F141,$F141/TC))</f>
      </c>
      <c r="J141" s="11"/>
      <c r="K141" s="11"/>
      <c r="L141" s="11"/>
    </row>
    <row r="142" ht="22" customHeight="1" spans="1:12" x14ac:dyDescent="0.25">
      <c r="A142" s="16"/>
      <c r="B142" s="11"/>
      <c r="C142" s="11">
        <f>IF($B142="","",IFERROR(VLOOKUP($B142,Inquilinos!$A:$B,2,0),"ID inexistente"))</f>
      </c>
      <c r="D142" s="15">
        <f>IF($A142="","",MONTH($A142))</f>
      </c>
      <c r="E142" s="11"/>
      <c r="F142" s="7"/>
      <c r="G142" s="15"/>
      <c r="H142" s="15">
        <f>IF($F142="","",IF($G142="USD",$F142*TC,$F142))</f>
      </c>
      <c r="I142" s="19">
        <f>IF($F142="","",IF($G142="USD",$F142,$F142/TC))</f>
      </c>
      <c r="J142" s="11"/>
      <c r="K142" s="11"/>
      <c r="L142" s="11"/>
    </row>
    <row r="143" ht="22" customHeight="1" spans="1:12" x14ac:dyDescent="0.25">
      <c r="A143" s="16"/>
      <c r="B143" s="11"/>
      <c r="C143" s="11">
        <f>IF($B143="","",IFERROR(VLOOKUP($B143,Inquilinos!$A:$B,2,0),"ID inexistente"))</f>
      </c>
      <c r="D143" s="15">
        <f>IF($A143="","",MONTH($A143))</f>
      </c>
      <c r="E143" s="11"/>
      <c r="F143" s="7"/>
      <c r="G143" s="15"/>
      <c r="H143" s="15">
        <f>IF($F143="","",IF($G143="USD",$F143*TC,$F143))</f>
      </c>
      <c r="I143" s="19">
        <f>IF($F143="","",IF($G143="USD",$F143,$F143/TC))</f>
      </c>
      <c r="J143" s="11"/>
      <c r="K143" s="11"/>
      <c r="L143" s="11"/>
    </row>
    <row r="144" ht="22" customHeight="1" spans="1:12" x14ac:dyDescent="0.25">
      <c r="A144" s="16"/>
      <c r="B144" s="11"/>
      <c r="C144" s="11">
        <f>IF($B144="","",IFERROR(VLOOKUP($B144,Inquilinos!$A:$B,2,0),"ID inexistente"))</f>
      </c>
      <c r="D144" s="15">
        <f>IF($A144="","",MONTH($A144))</f>
      </c>
      <c r="E144" s="11"/>
      <c r="F144" s="7"/>
      <c r="G144" s="15"/>
      <c r="H144" s="15">
        <f>IF($F144="","",IF($G144="USD",$F144*TC,$F144))</f>
      </c>
      <c r="I144" s="19">
        <f>IF($F144="","",IF($G144="USD",$F144,$F144/TC))</f>
      </c>
      <c r="J144" s="11"/>
      <c r="K144" s="11"/>
      <c r="L144" s="11"/>
    </row>
    <row r="145" ht="22" customHeight="1" spans="1:12" x14ac:dyDescent="0.25">
      <c r="A145" s="16"/>
      <c r="B145" s="11"/>
      <c r="C145" s="11">
        <f>IF($B145="","",IFERROR(VLOOKUP($B145,Inquilinos!$A:$B,2,0),"ID inexistente"))</f>
      </c>
      <c r="D145" s="15">
        <f>IF($A145="","",MONTH($A145))</f>
      </c>
      <c r="E145" s="11"/>
      <c r="F145" s="7"/>
      <c r="G145" s="15"/>
      <c r="H145" s="15">
        <f>IF($F145="","",IF($G145="USD",$F145*TC,$F145))</f>
      </c>
      <c r="I145" s="19">
        <f>IF($F145="","",IF($G145="USD",$F145,$F145/TC))</f>
      </c>
      <c r="J145" s="11"/>
      <c r="K145" s="11"/>
      <c r="L145" s="11"/>
    </row>
    <row r="146" ht="22" customHeight="1" spans="1:12" x14ac:dyDescent="0.25">
      <c r="A146" s="16"/>
      <c r="B146" s="11"/>
      <c r="C146" s="11">
        <f>IF($B146="","",IFERROR(VLOOKUP($B146,Inquilinos!$A:$B,2,0),"ID inexistente"))</f>
      </c>
      <c r="D146" s="15">
        <f>IF($A146="","",MONTH($A146))</f>
      </c>
      <c r="E146" s="11"/>
      <c r="F146" s="7"/>
      <c r="G146" s="15"/>
      <c r="H146" s="15">
        <f>IF($F146="","",IF($G146="USD",$F146*TC,$F146))</f>
      </c>
      <c r="I146" s="19">
        <f>IF($F146="","",IF($G146="USD",$F146,$F146/TC))</f>
      </c>
      <c r="J146" s="11"/>
      <c r="K146" s="11"/>
      <c r="L146" s="11"/>
    </row>
    <row r="147" ht="22" customHeight="1" spans="1:12" x14ac:dyDescent="0.25">
      <c r="A147" s="16"/>
      <c r="B147" s="11"/>
      <c r="C147" s="11">
        <f>IF($B147="","",IFERROR(VLOOKUP($B147,Inquilinos!$A:$B,2,0),"ID inexistente"))</f>
      </c>
      <c r="D147" s="15">
        <f>IF($A147="","",MONTH($A147))</f>
      </c>
      <c r="E147" s="11"/>
      <c r="F147" s="7"/>
      <c r="G147" s="15"/>
      <c r="H147" s="15">
        <f>IF($F147="","",IF($G147="USD",$F147*TC,$F147))</f>
      </c>
      <c r="I147" s="19">
        <f>IF($F147="","",IF($G147="USD",$F147,$F147/TC))</f>
      </c>
      <c r="J147" s="11"/>
      <c r="K147" s="11"/>
      <c r="L147" s="11"/>
    </row>
    <row r="148" ht="22" customHeight="1" spans="1:12" x14ac:dyDescent="0.25">
      <c r="A148" s="16"/>
      <c r="B148" s="11"/>
      <c r="C148" s="11">
        <f>IF($B148="","",IFERROR(VLOOKUP($B148,Inquilinos!$A:$B,2,0),"ID inexistente"))</f>
      </c>
      <c r="D148" s="15">
        <f>IF($A148="","",MONTH($A148))</f>
      </c>
      <c r="E148" s="11"/>
      <c r="F148" s="7"/>
      <c r="G148" s="15"/>
      <c r="H148" s="15">
        <f>IF($F148="","",IF($G148="USD",$F148*TC,$F148))</f>
      </c>
      <c r="I148" s="19">
        <f>IF($F148="","",IF($G148="USD",$F148,$F148/TC))</f>
      </c>
      <c r="J148" s="11"/>
      <c r="K148" s="11"/>
      <c r="L148" s="11"/>
    </row>
    <row r="149" ht="22" customHeight="1" spans="1:12" x14ac:dyDescent="0.25">
      <c r="A149" s="16"/>
      <c r="B149" s="11"/>
      <c r="C149" s="11">
        <f>IF($B149="","",IFERROR(VLOOKUP($B149,Inquilinos!$A:$B,2,0),"ID inexistente"))</f>
      </c>
      <c r="D149" s="15">
        <f>IF($A149="","",MONTH($A149))</f>
      </c>
      <c r="E149" s="11"/>
      <c r="F149" s="7"/>
      <c r="G149" s="15"/>
      <c r="H149" s="15">
        <f>IF($F149="","",IF($G149="USD",$F149*TC,$F149))</f>
      </c>
      <c r="I149" s="19">
        <f>IF($F149="","",IF($G149="USD",$F149,$F149/TC))</f>
      </c>
      <c r="J149" s="11"/>
      <c r="K149" s="11"/>
      <c r="L149" s="11"/>
    </row>
    <row r="150" ht="22" customHeight="1" spans="1:12" x14ac:dyDescent="0.25">
      <c r="A150" s="16"/>
      <c r="B150" s="11"/>
      <c r="C150" s="11">
        <f>IF($B150="","",IFERROR(VLOOKUP($B150,Inquilinos!$A:$B,2,0),"ID inexistente"))</f>
      </c>
      <c r="D150" s="15">
        <f>IF($A150="","",MONTH($A150))</f>
      </c>
      <c r="E150" s="11"/>
      <c r="F150" s="7"/>
      <c r="G150" s="15"/>
      <c r="H150" s="15">
        <f>IF($F150="","",IF($G150="USD",$F150*TC,$F150))</f>
      </c>
      <c r="I150" s="19">
        <f>IF($F150="","",IF($G150="USD",$F150,$F150/TC))</f>
      </c>
      <c r="J150" s="11"/>
      <c r="K150" s="11"/>
      <c r="L150" s="11"/>
    </row>
    <row r="151" ht="22" customHeight="1" spans="1:12" x14ac:dyDescent="0.25">
      <c r="A151" s="16"/>
      <c r="B151" s="11"/>
      <c r="C151" s="11">
        <f>IF($B151="","",IFERROR(VLOOKUP($B151,Inquilinos!$A:$B,2,0),"ID inexistente"))</f>
      </c>
      <c r="D151" s="15">
        <f>IF($A151="","",MONTH($A151))</f>
      </c>
      <c r="E151" s="11"/>
      <c r="F151" s="7"/>
      <c r="G151" s="15"/>
      <c r="H151" s="15">
        <f>IF($F151="","",IF($G151="USD",$F151*TC,$F151))</f>
      </c>
      <c r="I151" s="19">
        <f>IF($F151="","",IF($G151="USD",$F151,$F151/TC))</f>
      </c>
      <c r="J151" s="11"/>
      <c r="K151" s="11"/>
      <c r="L151" s="11"/>
    </row>
    <row r="152" ht="22" customHeight="1" spans="1:12" x14ac:dyDescent="0.25">
      <c r="A152" s="16"/>
      <c r="B152" s="11"/>
      <c r="C152" s="11">
        <f>IF($B152="","",IFERROR(VLOOKUP($B152,Inquilinos!$A:$B,2,0),"ID inexistente"))</f>
      </c>
      <c r="D152" s="15">
        <f>IF($A152="","",MONTH($A152))</f>
      </c>
      <c r="E152" s="11"/>
      <c r="F152" s="7"/>
      <c r="G152" s="15"/>
      <c r="H152" s="15">
        <f>IF($F152="","",IF($G152="USD",$F152*TC,$F152))</f>
      </c>
      <c r="I152" s="19">
        <f>IF($F152="","",IF($G152="USD",$F152,$F152/TC))</f>
      </c>
      <c r="J152" s="11"/>
      <c r="K152" s="11"/>
      <c r="L152" s="11"/>
    </row>
    <row r="153" ht="22" customHeight="1" spans="1:12" x14ac:dyDescent="0.25">
      <c r="A153" s="16"/>
      <c r="B153" s="11"/>
      <c r="C153" s="11">
        <f>IF($B153="","",IFERROR(VLOOKUP($B153,Inquilinos!$A:$B,2,0),"ID inexistente"))</f>
      </c>
      <c r="D153" s="15">
        <f>IF($A153="","",MONTH($A153))</f>
      </c>
      <c r="E153" s="11"/>
      <c r="F153" s="7"/>
      <c r="G153" s="15"/>
      <c r="H153" s="15">
        <f>IF($F153="","",IF($G153="USD",$F153*TC,$F153))</f>
      </c>
      <c r="I153" s="19">
        <f>IF($F153="","",IF($G153="USD",$F153,$F153/TC))</f>
      </c>
      <c r="J153" s="11"/>
      <c r="K153" s="11"/>
      <c r="L153" s="11"/>
    </row>
    <row r="154" ht="22" customHeight="1" spans="1:12" x14ac:dyDescent="0.25">
      <c r="A154" s="16"/>
      <c r="B154" s="11"/>
      <c r="C154" s="11">
        <f>IF($B154="","",IFERROR(VLOOKUP($B154,Inquilinos!$A:$B,2,0),"ID inexistente"))</f>
      </c>
      <c r="D154" s="15">
        <f>IF($A154="","",MONTH($A154))</f>
      </c>
      <c r="E154" s="11"/>
      <c r="F154" s="7"/>
      <c r="G154" s="15"/>
      <c r="H154" s="15">
        <f>IF($F154="","",IF($G154="USD",$F154*TC,$F154))</f>
      </c>
      <c r="I154" s="19">
        <f>IF($F154="","",IF($G154="USD",$F154,$F154/TC))</f>
      </c>
      <c r="J154" s="11"/>
      <c r="K154" s="11"/>
      <c r="L154" s="11"/>
    </row>
    <row r="155" ht="22" customHeight="1" spans="1:12" x14ac:dyDescent="0.25">
      <c r="A155" s="16"/>
      <c r="B155" s="11"/>
      <c r="C155" s="11">
        <f>IF($B155="","",IFERROR(VLOOKUP($B155,Inquilinos!$A:$B,2,0),"ID inexistente"))</f>
      </c>
      <c r="D155" s="15">
        <f>IF($A155="","",MONTH($A155))</f>
      </c>
      <c r="E155" s="11"/>
      <c r="F155" s="7"/>
      <c r="G155" s="15"/>
      <c r="H155" s="15">
        <f>IF($F155="","",IF($G155="USD",$F155*TC,$F155))</f>
      </c>
      <c r="I155" s="19">
        <f>IF($F155="","",IF($G155="USD",$F155,$F155/TC))</f>
      </c>
      <c r="J155" s="11"/>
      <c r="K155" s="11"/>
      <c r="L155" s="11"/>
    </row>
    <row r="156" ht="22" customHeight="1" spans="1:12" x14ac:dyDescent="0.25">
      <c r="A156" s="16"/>
      <c r="B156" s="11"/>
      <c r="C156" s="11">
        <f>IF($B156="","",IFERROR(VLOOKUP($B156,Inquilinos!$A:$B,2,0),"ID inexistente"))</f>
      </c>
      <c r="D156" s="15">
        <f>IF($A156="","",MONTH($A156))</f>
      </c>
      <c r="E156" s="11"/>
      <c r="F156" s="7"/>
      <c r="G156" s="15"/>
      <c r="H156" s="15">
        <f>IF($F156="","",IF($G156="USD",$F156*TC,$F156))</f>
      </c>
      <c r="I156" s="19">
        <f>IF($F156="","",IF($G156="USD",$F156,$F156/TC))</f>
      </c>
      <c r="J156" s="11"/>
      <c r="K156" s="11"/>
      <c r="L156" s="11"/>
    </row>
    <row r="157" ht="22" customHeight="1" spans="1:12" x14ac:dyDescent="0.25">
      <c r="A157" s="16"/>
      <c r="B157" s="11"/>
      <c r="C157" s="11">
        <f>IF($B157="","",IFERROR(VLOOKUP($B157,Inquilinos!$A:$B,2,0),"ID inexistente"))</f>
      </c>
      <c r="D157" s="15">
        <f>IF($A157="","",MONTH($A157))</f>
      </c>
      <c r="E157" s="11"/>
      <c r="F157" s="7"/>
      <c r="G157" s="15"/>
      <c r="H157" s="15">
        <f>IF($F157="","",IF($G157="USD",$F157*TC,$F157))</f>
      </c>
      <c r="I157" s="19">
        <f>IF($F157="","",IF($G157="USD",$F157,$F157/TC))</f>
      </c>
      <c r="J157" s="11"/>
      <c r="K157" s="11"/>
      <c r="L157" s="11"/>
    </row>
    <row r="158" ht="22" customHeight="1" spans="1:12" x14ac:dyDescent="0.25">
      <c r="A158" s="16"/>
      <c r="B158" s="11"/>
      <c r="C158" s="11">
        <f>IF($B158="","",IFERROR(VLOOKUP($B158,Inquilinos!$A:$B,2,0),"ID inexistente"))</f>
      </c>
      <c r="D158" s="15">
        <f>IF($A158="","",MONTH($A158))</f>
      </c>
      <c r="E158" s="11"/>
      <c r="F158" s="7"/>
      <c r="G158" s="15"/>
      <c r="H158" s="15">
        <f>IF($F158="","",IF($G158="USD",$F158*TC,$F158))</f>
      </c>
      <c r="I158" s="19">
        <f>IF($F158="","",IF($G158="USD",$F158,$F158/TC))</f>
      </c>
      <c r="J158" s="11"/>
      <c r="K158" s="11"/>
      <c r="L158" s="11"/>
    </row>
    <row r="159" ht="22" customHeight="1" spans="1:12" x14ac:dyDescent="0.25">
      <c r="A159" s="16"/>
      <c r="B159" s="11"/>
      <c r="C159" s="11">
        <f>IF($B159="","",IFERROR(VLOOKUP($B159,Inquilinos!$A:$B,2,0),"ID inexistente"))</f>
      </c>
      <c r="D159" s="15">
        <f>IF($A159="","",MONTH($A159))</f>
      </c>
      <c r="E159" s="11"/>
      <c r="F159" s="7"/>
      <c r="G159" s="15"/>
      <c r="H159" s="15">
        <f>IF($F159="","",IF($G159="USD",$F159*TC,$F159))</f>
      </c>
      <c r="I159" s="19">
        <f>IF($F159="","",IF($G159="USD",$F159,$F159/TC))</f>
      </c>
      <c r="J159" s="11"/>
      <c r="K159" s="11"/>
      <c r="L159" s="11"/>
    </row>
    <row r="160" ht="22" customHeight="1" spans="1:12" x14ac:dyDescent="0.25">
      <c r="A160" s="16"/>
      <c r="B160" s="11"/>
      <c r="C160" s="11">
        <f>IF($B160="","",IFERROR(VLOOKUP($B160,Inquilinos!$A:$B,2,0),"ID inexistente"))</f>
      </c>
      <c r="D160" s="15">
        <f>IF($A160="","",MONTH($A160))</f>
      </c>
      <c r="E160" s="11"/>
      <c r="F160" s="7"/>
      <c r="G160" s="15"/>
      <c r="H160" s="15">
        <f>IF($F160="","",IF($G160="USD",$F160*TC,$F160))</f>
      </c>
      <c r="I160" s="19">
        <f>IF($F160="","",IF($G160="USD",$F160,$F160/TC))</f>
      </c>
      <c r="J160" s="11"/>
      <c r="K160" s="11"/>
      <c r="L160" s="11"/>
    </row>
    <row r="161" ht="22" customHeight="1" spans="1:12" x14ac:dyDescent="0.25">
      <c r="A161" s="16"/>
      <c r="B161" s="11"/>
      <c r="C161" s="11">
        <f>IF($B161="","",IFERROR(VLOOKUP($B161,Inquilinos!$A:$B,2,0),"ID inexistente"))</f>
      </c>
      <c r="D161" s="15">
        <f>IF($A161="","",MONTH($A161))</f>
      </c>
      <c r="E161" s="11"/>
      <c r="F161" s="7"/>
      <c r="G161" s="15"/>
      <c r="H161" s="15">
        <f>IF($F161="","",IF($G161="USD",$F161*TC,$F161))</f>
      </c>
      <c r="I161" s="19">
        <f>IF($F161="","",IF($G161="USD",$F161,$F161/TC))</f>
      </c>
      <c r="J161" s="11"/>
      <c r="K161" s="11"/>
      <c r="L161" s="11"/>
    </row>
    <row r="162" ht="22" customHeight="1" spans="1:12" x14ac:dyDescent="0.25">
      <c r="A162" s="16"/>
      <c r="B162" s="11"/>
      <c r="C162" s="11">
        <f>IF($B162="","",IFERROR(VLOOKUP($B162,Inquilinos!$A:$B,2,0),"ID inexistente"))</f>
      </c>
      <c r="D162" s="15">
        <f>IF($A162="","",MONTH($A162))</f>
      </c>
      <c r="E162" s="11"/>
      <c r="F162" s="7"/>
      <c r="G162" s="15"/>
      <c r="H162" s="15">
        <f>IF($F162="","",IF($G162="USD",$F162*TC,$F162))</f>
      </c>
      <c r="I162" s="19">
        <f>IF($F162="","",IF($G162="USD",$F162,$F162/TC))</f>
      </c>
      <c r="J162" s="11"/>
      <c r="K162" s="11"/>
      <c r="L162" s="11"/>
    </row>
    <row r="163" ht="22" customHeight="1" spans="1:12" x14ac:dyDescent="0.25">
      <c r="A163" s="16"/>
      <c r="B163" s="11"/>
      <c r="C163" s="11">
        <f>IF($B163="","",IFERROR(VLOOKUP($B163,Inquilinos!$A:$B,2,0),"ID inexistente"))</f>
      </c>
      <c r="D163" s="15">
        <f>IF($A163="","",MONTH($A163))</f>
      </c>
      <c r="E163" s="11"/>
      <c r="F163" s="7"/>
      <c r="G163" s="15"/>
      <c r="H163" s="15">
        <f>IF($F163="","",IF($G163="USD",$F163*TC,$F163))</f>
      </c>
      <c r="I163" s="19">
        <f>IF($F163="","",IF($G163="USD",$F163,$F163/TC))</f>
      </c>
      <c r="J163" s="11"/>
      <c r="K163" s="11"/>
      <c r="L163" s="11"/>
    </row>
    <row r="164" ht="22" customHeight="1" spans="1:12" x14ac:dyDescent="0.25">
      <c r="A164" s="16"/>
      <c r="B164" s="11"/>
      <c r="C164" s="11">
        <f>IF($B164="","",IFERROR(VLOOKUP($B164,Inquilinos!$A:$B,2,0),"ID inexistente"))</f>
      </c>
      <c r="D164" s="15">
        <f>IF($A164="","",MONTH($A164))</f>
      </c>
      <c r="E164" s="11"/>
      <c r="F164" s="7"/>
      <c r="G164" s="15"/>
      <c r="H164" s="15">
        <f>IF($F164="","",IF($G164="USD",$F164*TC,$F164))</f>
      </c>
      <c r="I164" s="19">
        <f>IF($F164="","",IF($G164="USD",$F164,$F164/TC))</f>
      </c>
      <c r="J164" s="11"/>
      <c r="K164" s="11"/>
      <c r="L164" s="11"/>
    </row>
    <row r="165" ht="22" customHeight="1" spans="1:12" x14ac:dyDescent="0.25">
      <c r="A165" s="16"/>
      <c r="B165" s="11"/>
      <c r="C165" s="11">
        <f>IF($B165="","",IFERROR(VLOOKUP($B165,Inquilinos!$A:$B,2,0),"ID inexistente"))</f>
      </c>
      <c r="D165" s="15">
        <f>IF($A165="","",MONTH($A165))</f>
      </c>
      <c r="E165" s="11"/>
      <c r="F165" s="7"/>
      <c r="G165" s="15"/>
      <c r="H165" s="15">
        <f>IF($F165="","",IF($G165="USD",$F165*TC,$F165))</f>
      </c>
      <c r="I165" s="19">
        <f>IF($F165="","",IF($G165="USD",$F165,$F165/TC))</f>
      </c>
      <c r="J165" s="11"/>
      <c r="K165" s="11"/>
      <c r="L165" s="11"/>
    </row>
    <row r="166" ht="22" customHeight="1" spans="1:12" x14ac:dyDescent="0.25">
      <c r="A166" s="16"/>
      <c r="B166" s="11"/>
      <c r="C166" s="11">
        <f>IF($B166="","",IFERROR(VLOOKUP($B166,Inquilinos!$A:$B,2,0),"ID inexistente"))</f>
      </c>
      <c r="D166" s="15">
        <f>IF($A166="","",MONTH($A166))</f>
      </c>
      <c r="E166" s="11"/>
      <c r="F166" s="7"/>
      <c r="G166" s="15"/>
      <c r="H166" s="15">
        <f>IF($F166="","",IF($G166="USD",$F166*TC,$F166))</f>
      </c>
      <c r="I166" s="19">
        <f>IF($F166="","",IF($G166="USD",$F166,$F166/TC))</f>
      </c>
      <c r="J166" s="11"/>
      <c r="K166" s="11"/>
      <c r="L166" s="11"/>
    </row>
    <row r="167" ht="22" customHeight="1" spans="1:12" x14ac:dyDescent="0.25">
      <c r="A167" s="16"/>
      <c r="B167" s="11"/>
      <c r="C167" s="11">
        <f>IF($B167="","",IFERROR(VLOOKUP($B167,Inquilinos!$A:$B,2,0),"ID inexistente"))</f>
      </c>
      <c r="D167" s="15">
        <f>IF($A167="","",MONTH($A167))</f>
      </c>
      <c r="E167" s="11"/>
      <c r="F167" s="7"/>
      <c r="G167" s="15"/>
      <c r="H167" s="15">
        <f>IF($F167="","",IF($G167="USD",$F167*TC,$F167))</f>
      </c>
      <c r="I167" s="19">
        <f>IF($F167="","",IF($G167="USD",$F167,$F167/TC))</f>
      </c>
      <c r="J167" s="11"/>
      <c r="K167" s="11"/>
      <c r="L167" s="11"/>
    </row>
    <row r="168" ht="22" customHeight="1" spans="1:12" x14ac:dyDescent="0.25">
      <c r="A168" s="16"/>
      <c r="B168" s="11"/>
      <c r="C168" s="11">
        <f>IF($B168="","",IFERROR(VLOOKUP($B168,Inquilinos!$A:$B,2,0),"ID inexistente"))</f>
      </c>
      <c r="D168" s="15">
        <f>IF($A168="","",MONTH($A168))</f>
      </c>
      <c r="E168" s="11"/>
      <c r="F168" s="7"/>
      <c r="G168" s="15"/>
      <c r="H168" s="15">
        <f>IF($F168="","",IF($G168="USD",$F168*TC,$F168))</f>
      </c>
      <c r="I168" s="19">
        <f>IF($F168="","",IF($G168="USD",$F168,$F168/TC))</f>
      </c>
      <c r="J168" s="11"/>
      <c r="K168" s="11"/>
      <c r="L168" s="11"/>
    </row>
    <row r="169" ht="22" customHeight="1" spans="1:12" x14ac:dyDescent="0.25">
      <c r="A169" s="16"/>
      <c r="B169" s="11"/>
      <c r="C169" s="11">
        <f>IF($B169="","",IFERROR(VLOOKUP($B169,Inquilinos!$A:$B,2,0),"ID inexistente"))</f>
      </c>
      <c r="D169" s="15">
        <f>IF($A169="","",MONTH($A169))</f>
      </c>
      <c r="E169" s="11"/>
      <c r="F169" s="7"/>
      <c r="G169" s="15"/>
      <c r="H169" s="15">
        <f>IF($F169="","",IF($G169="USD",$F169*TC,$F169))</f>
      </c>
      <c r="I169" s="19">
        <f>IF($F169="","",IF($G169="USD",$F169,$F169/TC))</f>
      </c>
      <c r="J169" s="11"/>
      <c r="K169" s="11"/>
      <c r="L169" s="11"/>
    </row>
    <row r="170" ht="22" customHeight="1" spans="1:12" x14ac:dyDescent="0.25">
      <c r="A170" s="16"/>
      <c r="B170" s="11"/>
      <c r="C170" s="11">
        <f>IF($B170="","",IFERROR(VLOOKUP($B170,Inquilinos!$A:$B,2,0),"ID inexistente"))</f>
      </c>
      <c r="D170" s="15">
        <f>IF($A170="","",MONTH($A170))</f>
      </c>
      <c r="E170" s="11"/>
      <c r="F170" s="7"/>
      <c r="G170" s="15"/>
      <c r="H170" s="15">
        <f>IF($F170="","",IF($G170="USD",$F170*TC,$F170))</f>
      </c>
      <c r="I170" s="19">
        <f>IF($F170="","",IF($G170="USD",$F170,$F170/TC))</f>
      </c>
      <c r="J170" s="11"/>
      <c r="K170" s="11"/>
      <c r="L170" s="11"/>
    </row>
    <row r="171" ht="22" customHeight="1" spans="1:12" x14ac:dyDescent="0.25">
      <c r="A171" s="16"/>
      <c r="B171" s="11"/>
      <c r="C171" s="11">
        <f>IF($B171="","",IFERROR(VLOOKUP($B171,Inquilinos!$A:$B,2,0),"ID inexistente"))</f>
      </c>
      <c r="D171" s="15">
        <f>IF($A171="","",MONTH($A171))</f>
      </c>
      <c r="E171" s="11"/>
      <c r="F171" s="7"/>
      <c r="G171" s="15"/>
      <c r="H171" s="15">
        <f>IF($F171="","",IF($G171="USD",$F171*TC,$F171))</f>
      </c>
      <c r="I171" s="19">
        <f>IF($F171="","",IF($G171="USD",$F171,$F171/TC))</f>
      </c>
      <c r="J171" s="11"/>
      <c r="K171" s="11"/>
      <c r="L171" s="11"/>
    </row>
    <row r="172" ht="22" customHeight="1" spans="1:12" x14ac:dyDescent="0.25">
      <c r="A172" s="16"/>
      <c r="B172" s="11"/>
      <c r="C172" s="11">
        <f>IF($B172="","",IFERROR(VLOOKUP($B172,Inquilinos!$A:$B,2,0),"ID inexistente"))</f>
      </c>
      <c r="D172" s="15">
        <f>IF($A172="","",MONTH($A172))</f>
      </c>
      <c r="E172" s="11"/>
      <c r="F172" s="7"/>
      <c r="G172" s="15"/>
      <c r="H172" s="15">
        <f>IF($F172="","",IF($G172="USD",$F172*TC,$F172))</f>
      </c>
      <c r="I172" s="19">
        <f>IF($F172="","",IF($G172="USD",$F172,$F172/TC))</f>
      </c>
      <c r="J172" s="11"/>
      <c r="K172" s="11"/>
      <c r="L172" s="11"/>
    </row>
    <row r="173" ht="22" customHeight="1" spans="1:12" x14ac:dyDescent="0.25">
      <c r="A173" s="16"/>
      <c r="B173" s="11"/>
      <c r="C173" s="11">
        <f>IF($B173="","",IFERROR(VLOOKUP($B173,Inquilinos!$A:$B,2,0),"ID inexistente"))</f>
      </c>
      <c r="D173" s="15">
        <f>IF($A173="","",MONTH($A173))</f>
      </c>
      <c r="E173" s="11"/>
      <c r="F173" s="7"/>
      <c r="G173" s="15"/>
      <c r="H173" s="15">
        <f>IF($F173="","",IF($G173="USD",$F173*TC,$F173))</f>
      </c>
      <c r="I173" s="19">
        <f>IF($F173="","",IF($G173="USD",$F173,$F173/TC))</f>
      </c>
      <c r="J173" s="11"/>
      <c r="K173" s="11"/>
      <c r="L173" s="11"/>
    </row>
    <row r="174" ht="22" customHeight="1" spans="1:12" x14ac:dyDescent="0.25">
      <c r="A174" s="16"/>
      <c r="B174" s="11"/>
      <c r="C174" s="11">
        <f>IF($B174="","",IFERROR(VLOOKUP($B174,Inquilinos!$A:$B,2,0),"ID inexistente"))</f>
      </c>
      <c r="D174" s="15">
        <f>IF($A174="","",MONTH($A174))</f>
      </c>
      <c r="E174" s="11"/>
      <c r="F174" s="7"/>
      <c r="G174" s="15"/>
      <c r="H174" s="15">
        <f>IF($F174="","",IF($G174="USD",$F174*TC,$F174))</f>
      </c>
      <c r="I174" s="19">
        <f>IF($F174="","",IF($G174="USD",$F174,$F174/TC))</f>
      </c>
      <c r="J174" s="11"/>
      <c r="K174" s="11"/>
      <c r="L174" s="11"/>
    </row>
    <row r="175" ht="22" customHeight="1" spans="1:12" x14ac:dyDescent="0.25">
      <c r="A175" s="16"/>
      <c r="B175" s="11"/>
      <c r="C175" s="11">
        <f>IF($B175="","",IFERROR(VLOOKUP($B175,Inquilinos!$A:$B,2,0),"ID inexistente"))</f>
      </c>
      <c r="D175" s="15">
        <f>IF($A175="","",MONTH($A175))</f>
      </c>
      <c r="E175" s="11"/>
      <c r="F175" s="7"/>
      <c r="G175" s="15"/>
      <c r="H175" s="15">
        <f>IF($F175="","",IF($G175="USD",$F175*TC,$F175))</f>
      </c>
      <c r="I175" s="19">
        <f>IF($F175="","",IF($G175="USD",$F175,$F175/TC))</f>
      </c>
      <c r="J175" s="11"/>
      <c r="K175" s="11"/>
      <c r="L175" s="11"/>
    </row>
    <row r="176" ht="22" customHeight="1" spans="1:12" x14ac:dyDescent="0.25">
      <c r="A176" s="16"/>
      <c r="B176" s="11"/>
      <c r="C176" s="11">
        <f>IF($B176="","",IFERROR(VLOOKUP($B176,Inquilinos!$A:$B,2,0),"ID inexistente"))</f>
      </c>
      <c r="D176" s="15">
        <f>IF($A176="","",MONTH($A176))</f>
      </c>
      <c r="E176" s="11"/>
      <c r="F176" s="7"/>
      <c r="G176" s="15"/>
      <c r="H176" s="15">
        <f>IF($F176="","",IF($G176="USD",$F176*TC,$F176))</f>
      </c>
      <c r="I176" s="19">
        <f>IF($F176="","",IF($G176="USD",$F176,$F176/TC))</f>
      </c>
      <c r="J176" s="11"/>
      <c r="K176" s="11"/>
      <c r="L176" s="11"/>
    </row>
    <row r="177" ht="22" customHeight="1" spans="1:12" x14ac:dyDescent="0.25">
      <c r="A177" s="16"/>
      <c r="B177" s="11"/>
      <c r="C177" s="11">
        <f>IF($B177="","",IFERROR(VLOOKUP($B177,Inquilinos!$A:$B,2,0),"ID inexistente"))</f>
      </c>
      <c r="D177" s="15">
        <f>IF($A177="","",MONTH($A177))</f>
      </c>
      <c r="E177" s="11"/>
      <c r="F177" s="7"/>
      <c r="G177" s="15"/>
      <c r="H177" s="15">
        <f>IF($F177="","",IF($G177="USD",$F177*TC,$F177))</f>
      </c>
      <c r="I177" s="19">
        <f>IF($F177="","",IF($G177="USD",$F177,$F177/TC))</f>
      </c>
      <c r="J177" s="11"/>
      <c r="K177" s="11"/>
      <c r="L177" s="11"/>
    </row>
    <row r="178" ht="22" customHeight="1" spans="1:12" x14ac:dyDescent="0.25">
      <c r="A178" s="16"/>
      <c r="B178" s="11"/>
      <c r="C178" s="11">
        <f>IF($B178="","",IFERROR(VLOOKUP($B178,Inquilinos!$A:$B,2,0),"ID inexistente"))</f>
      </c>
      <c r="D178" s="15">
        <f>IF($A178="","",MONTH($A178))</f>
      </c>
      <c r="E178" s="11"/>
      <c r="F178" s="7"/>
      <c r="G178" s="15"/>
      <c r="H178" s="15">
        <f>IF($F178="","",IF($G178="USD",$F178*TC,$F178))</f>
      </c>
      <c r="I178" s="19">
        <f>IF($F178="","",IF($G178="USD",$F178,$F178/TC))</f>
      </c>
      <c r="J178" s="11"/>
      <c r="K178" s="11"/>
      <c r="L178" s="11"/>
    </row>
    <row r="179" ht="22" customHeight="1" spans="1:12" x14ac:dyDescent="0.25">
      <c r="A179" s="16"/>
      <c r="B179" s="11"/>
      <c r="C179" s="11">
        <f>IF($B179="","",IFERROR(VLOOKUP($B179,Inquilinos!$A:$B,2,0),"ID inexistente"))</f>
      </c>
      <c r="D179" s="15">
        <f>IF($A179="","",MONTH($A179))</f>
      </c>
      <c r="E179" s="11"/>
      <c r="F179" s="7"/>
      <c r="G179" s="15"/>
      <c r="H179" s="15">
        <f>IF($F179="","",IF($G179="USD",$F179*TC,$F179))</f>
      </c>
      <c r="I179" s="19">
        <f>IF($F179="","",IF($G179="USD",$F179,$F179/TC))</f>
      </c>
      <c r="J179" s="11"/>
      <c r="K179" s="11"/>
      <c r="L179" s="11"/>
    </row>
    <row r="180" ht="22" customHeight="1" spans="1:12" x14ac:dyDescent="0.25">
      <c r="A180" s="16"/>
      <c r="B180" s="11"/>
      <c r="C180" s="11">
        <f>IF($B180="","",IFERROR(VLOOKUP($B180,Inquilinos!$A:$B,2,0),"ID inexistente"))</f>
      </c>
      <c r="D180" s="15">
        <f>IF($A180="","",MONTH($A180))</f>
      </c>
      <c r="E180" s="11"/>
      <c r="F180" s="7"/>
      <c r="G180" s="15"/>
      <c r="H180" s="15">
        <f>IF($F180="","",IF($G180="USD",$F180*TC,$F180))</f>
      </c>
      <c r="I180" s="19">
        <f>IF($F180="","",IF($G180="USD",$F180,$F180/TC))</f>
      </c>
      <c r="J180" s="11"/>
      <c r="K180" s="11"/>
      <c r="L180" s="11"/>
    </row>
    <row r="181" ht="22" customHeight="1" spans="1:12" x14ac:dyDescent="0.25">
      <c r="A181" s="16"/>
      <c r="B181" s="11"/>
      <c r="C181" s="11">
        <f>IF($B181="","",IFERROR(VLOOKUP($B181,Inquilinos!$A:$B,2,0),"ID inexistente"))</f>
      </c>
      <c r="D181" s="15">
        <f>IF($A181="","",MONTH($A181))</f>
      </c>
      <c r="E181" s="11"/>
      <c r="F181" s="7"/>
      <c r="G181" s="15"/>
      <c r="H181" s="15">
        <f>IF($F181="","",IF($G181="USD",$F181*TC,$F181))</f>
      </c>
      <c r="I181" s="19">
        <f>IF($F181="","",IF($G181="USD",$F181,$F181/TC))</f>
      </c>
      <c r="J181" s="11"/>
      <c r="K181" s="11"/>
      <c r="L181" s="11"/>
    </row>
    <row r="182" ht="22" customHeight="1" spans="1:12" x14ac:dyDescent="0.25">
      <c r="A182" s="16"/>
      <c r="B182" s="11"/>
      <c r="C182" s="11">
        <f>IF($B182="","",IFERROR(VLOOKUP($B182,Inquilinos!$A:$B,2,0),"ID inexistente"))</f>
      </c>
      <c r="D182" s="15">
        <f>IF($A182="","",MONTH($A182))</f>
      </c>
      <c r="E182" s="11"/>
      <c r="F182" s="7"/>
      <c r="G182" s="15"/>
      <c r="H182" s="15">
        <f>IF($F182="","",IF($G182="USD",$F182*TC,$F182))</f>
      </c>
      <c r="I182" s="19">
        <f>IF($F182="","",IF($G182="USD",$F182,$F182/TC))</f>
      </c>
      <c r="J182" s="11"/>
      <c r="K182" s="11"/>
      <c r="L182" s="11"/>
    </row>
    <row r="183" ht="22" customHeight="1" spans="1:12" x14ac:dyDescent="0.25">
      <c r="A183" s="16"/>
      <c r="B183" s="11"/>
      <c r="C183" s="11">
        <f>IF($B183="","",IFERROR(VLOOKUP($B183,Inquilinos!$A:$B,2,0),"ID inexistente"))</f>
      </c>
      <c r="D183" s="15">
        <f>IF($A183="","",MONTH($A183))</f>
      </c>
      <c r="E183" s="11"/>
      <c r="F183" s="7"/>
      <c r="G183" s="15"/>
      <c r="H183" s="15">
        <f>IF($F183="","",IF($G183="USD",$F183*TC,$F183))</f>
      </c>
      <c r="I183" s="19">
        <f>IF($F183="","",IF($G183="USD",$F183,$F183/TC))</f>
      </c>
      <c r="J183" s="11"/>
      <c r="K183" s="11"/>
      <c r="L183" s="11"/>
    </row>
    <row r="184" ht="22" customHeight="1" spans="1:12" x14ac:dyDescent="0.25">
      <c r="A184" s="16"/>
      <c r="B184" s="11"/>
      <c r="C184" s="11">
        <f>IF($B184="","",IFERROR(VLOOKUP($B184,Inquilinos!$A:$B,2,0),"ID inexistente"))</f>
      </c>
      <c r="D184" s="15">
        <f>IF($A184="","",MONTH($A184))</f>
      </c>
      <c r="E184" s="11"/>
      <c r="F184" s="7"/>
      <c r="G184" s="15"/>
      <c r="H184" s="15">
        <f>IF($F184="","",IF($G184="USD",$F184*TC,$F184))</f>
      </c>
      <c r="I184" s="19">
        <f>IF($F184="","",IF($G184="USD",$F184,$F184/TC))</f>
      </c>
      <c r="J184" s="11"/>
      <c r="K184" s="11"/>
      <c r="L184" s="11"/>
    </row>
    <row r="185" ht="22" customHeight="1" spans="1:12" x14ac:dyDescent="0.25">
      <c r="A185" s="16"/>
      <c r="B185" s="11"/>
      <c r="C185" s="11">
        <f>IF($B185="","",IFERROR(VLOOKUP($B185,Inquilinos!$A:$B,2,0),"ID inexistente"))</f>
      </c>
      <c r="D185" s="15">
        <f>IF($A185="","",MONTH($A185))</f>
      </c>
      <c r="E185" s="11"/>
      <c r="F185" s="7"/>
      <c r="G185" s="15"/>
      <c r="H185" s="15">
        <f>IF($F185="","",IF($G185="USD",$F185*TC,$F185))</f>
      </c>
      <c r="I185" s="19">
        <f>IF($F185="","",IF($G185="USD",$F185,$F185/TC))</f>
      </c>
      <c r="J185" s="11"/>
      <c r="K185" s="11"/>
      <c r="L185" s="11"/>
    </row>
    <row r="186" ht="22" customHeight="1" spans="1:12" x14ac:dyDescent="0.25">
      <c r="A186" s="16"/>
      <c r="B186" s="11"/>
      <c r="C186" s="11">
        <f>IF($B186="","",IFERROR(VLOOKUP($B186,Inquilinos!$A:$B,2,0),"ID inexistente"))</f>
      </c>
      <c r="D186" s="15">
        <f>IF($A186="","",MONTH($A186))</f>
      </c>
      <c r="E186" s="11"/>
      <c r="F186" s="7"/>
      <c r="G186" s="15"/>
      <c r="H186" s="15">
        <f>IF($F186="","",IF($G186="USD",$F186*TC,$F186))</f>
      </c>
      <c r="I186" s="19">
        <f>IF($F186="","",IF($G186="USD",$F186,$F186/TC))</f>
      </c>
      <c r="J186" s="11"/>
      <c r="K186" s="11"/>
      <c r="L186" s="11"/>
    </row>
    <row r="187" ht="22" customHeight="1" spans="1:12" x14ac:dyDescent="0.25">
      <c r="A187" s="16"/>
      <c r="B187" s="11"/>
      <c r="C187" s="11">
        <f>IF($B187="","",IFERROR(VLOOKUP($B187,Inquilinos!$A:$B,2,0),"ID inexistente"))</f>
      </c>
      <c r="D187" s="15">
        <f>IF($A187="","",MONTH($A187))</f>
      </c>
      <c r="E187" s="11"/>
      <c r="F187" s="7"/>
      <c r="G187" s="15"/>
      <c r="H187" s="15">
        <f>IF($F187="","",IF($G187="USD",$F187*TC,$F187))</f>
      </c>
      <c r="I187" s="19">
        <f>IF($F187="","",IF($G187="USD",$F187,$F187/TC))</f>
      </c>
      <c r="J187" s="11"/>
      <c r="K187" s="11"/>
      <c r="L187" s="11"/>
    </row>
    <row r="188" ht="22" customHeight="1" spans="1:12" x14ac:dyDescent="0.25">
      <c r="A188" s="16"/>
      <c r="B188" s="11"/>
      <c r="C188" s="11">
        <f>IF($B188="","",IFERROR(VLOOKUP($B188,Inquilinos!$A:$B,2,0),"ID inexistente"))</f>
      </c>
      <c r="D188" s="15">
        <f>IF($A188="","",MONTH($A188))</f>
      </c>
      <c r="E188" s="11"/>
      <c r="F188" s="7"/>
      <c r="G188" s="15"/>
      <c r="H188" s="15">
        <f>IF($F188="","",IF($G188="USD",$F188*TC,$F188))</f>
      </c>
      <c r="I188" s="19">
        <f>IF($F188="","",IF($G188="USD",$F188,$F188/TC))</f>
      </c>
      <c r="J188" s="11"/>
      <c r="K188" s="11"/>
      <c r="L188" s="11"/>
    </row>
    <row r="189" ht="22" customHeight="1" spans="1:12" x14ac:dyDescent="0.25">
      <c r="A189" s="16"/>
      <c r="B189" s="11"/>
      <c r="C189" s="11">
        <f>IF($B189="","",IFERROR(VLOOKUP($B189,Inquilinos!$A:$B,2,0),"ID inexistente"))</f>
      </c>
      <c r="D189" s="15">
        <f>IF($A189="","",MONTH($A189))</f>
      </c>
      <c r="E189" s="11"/>
      <c r="F189" s="7"/>
      <c r="G189" s="15"/>
      <c r="H189" s="15">
        <f>IF($F189="","",IF($G189="USD",$F189*TC,$F189))</f>
      </c>
      <c r="I189" s="19">
        <f>IF($F189="","",IF($G189="USD",$F189,$F189/TC))</f>
      </c>
      <c r="J189" s="11"/>
      <c r="K189" s="11"/>
      <c r="L189" s="11"/>
    </row>
    <row r="190" ht="22" customHeight="1" spans="1:12" x14ac:dyDescent="0.25">
      <c r="A190" s="16"/>
      <c r="B190" s="11"/>
      <c r="C190" s="11">
        <f>IF($B190="","",IFERROR(VLOOKUP($B190,Inquilinos!$A:$B,2,0),"ID inexistente"))</f>
      </c>
      <c r="D190" s="15">
        <f>IF($A190="","",MONTH($A190))</f>
      </c>
      <c r="E190" s="11"/>
      <c r="F190" s="7"/>
      <c r="G190" s="15"/>
      <c r="H190" s="15">
        <f>IF($F190="","",IF($G190="USD",$F190*TC,$F190))</f>
      </c>
      <c r="I190" s="19">
        <f>IF($F190="","",IF($G190="USD",$F190,$F190/TC))</f>
      </c>
      <c r="J190" s="11"/>
      <c r="K190" s="11"/>
      <c r="L190" s="11"/>
    </row>
    <row r="191" ht="22" customHeight="1" spans="1:12" x14ac:dyDescent="0.25">
      <c r="A191" s="16"/>
      <c r="B191" s="11"/>
      <c r="C191" s="11">
        <f>IF($B191="","",IFERROR(VLOOKUP($B191,Inquilinos!$A:$B,2,0),"ID inexistente"))</f>
      </c>
      <c r="D191" s="15">
        <f>IF($A191="","",MONTH($A191))</f>
      </c>
      <c r="E191" s="11"/>
      <c r="F191" s="7"/>
      <c r="G191" s="15"/>
      <c r="H191" s="15">
        <f>IF($F191="","",IF($G191="USD",$F191*TC,$F191))</f>
      </c>
      <c r="I191" s="19">
        <f>IF($F191="","",IF($G191="USD",$F191,$F191/TC))</f>
      </c>
      <c r="J191" s="11"/>
      <c r="K191" s="11"/>
      <c r="L191" s="11"/>
    </row>
    <row r="192" ht="22" customHeight="1" spans="1:12" x14ac:dyDescent="0.25">
      <c r="A192" s="16"/>
      <c r="B192" s="11"/>
      <c r="C192" s="11">
        <f>IF($B192="","",IFERROR(VLOOKUP($B192,Inquilinos!$A:$B,2,0),"ID inexistente"))</f>
      </c>
      <c r="D192" s="15">
        <f>IF($A192="","",MONTH($A192))</f>
      </c>
      <c r="E192" s="11"/>
      <c r="F192" s="7"/>
      <c r="G192" s="15"/>
      <c r="H192" s="15">
        <f>IF($F192="","",IF($G192="USD",$F192*TC,$F192))</f>
      </c>
      <c r="I192" s="19">
        <f>IF($F192="","",IF($G192="USD",$F192,$F192/TC))</f>
      </c>
      <c r="J192" s="11"/>
      <c r="K192" s="11"/>
      <c r="L192" s="11"/>
    </row>
    <row r="193" ht="22" customHeight="1" spans="1:12" x14ac:dyDescent="0.25">
      <c r="A193" s="16"/>
      <c r="B193" s="11"/>
      <c r="C193" s="11">
        <f>IF($B193="","",IFERROR(VLOOKUP($B193,Inquilinos!$A:$B,2,0),"ID inexistente"))</f>
      </c>
      <c r="D193" s="15">
        <f>IF($A193="","",MONTH($A193))</f>
      </c>
      <c r="E193" s="11"/>
      <c r="F193" s="7"/>
      <c r="G193" s="15"/>
      <c r="H193" s="15">
        <f>IF($F193="","",IF($G193="USD",$F193*TC,$F193))</f>
      </c>
      <c r="I193" s="19">
        <f>IF($F193="","",IF($G193="USD",$F193,$F193/TC))</f>
      </c>
      <c r="J193" s="11"/>
      <c r="K193" s="11"/>
      <c r="L193" s="11"/>
    </row>
    <row r="194" ht="22" customHeight="1" spans="1:12" x14ac:dyDescent="0.25">
      <c r="A194" s="16"/>
      <c r="B194" s="11"/>
      <c r="C194" s="11">
        <f>IF($B194="","",IFERROR(VLOOKUP($B194,Inquilinos!$A:$B,2,0),"ID inexistente"))</f>
      </c>
      <c r="D194" s="15">
        <f>IF($A194="","",MONTH($A194))</f>
      </c>
      <c r="E194" s="11"/>
      <c r="F194" s="7"/>
      <c r="G194" s="15"/>
      <c r="H194" s="15">
        <f>IF($F194="","",IF($G194="USD",$F194*TC,$F194))</f>
      </c>
      <c r="I194" s="19">
        <f>IF($F194="","",IF($G194="USD",$F194,$F194/TC))</f>
      </c>
      <c r="J194" s="11"/>
      <c r="K194" s="11"/>
      <c r="L194" s="11"/>
    </row>
    <row r="195" ht="22" customHeight="1" spans="1:12" x14ac:dyDescent="0.25">
      <c r="A195" s="16"/>
      <c r="B195" s="11"/>
      <c r="C195" s="11">
        <f>IF($B195="","",IFERROR(VLOOKUP($B195,Inquilinos!$A:$B,2,0),"ID inexistente"))</f>
      </c>
      <c r="D195" s="15">
        <f>IF($A195="","",MONTH($A195))</f>
      </c>
      <c r="E195" s="11"/>
      <c r="F195" s="7"/>
      <c r="G195" s="15"/>
      <c r="H195" s="15">
        <f>IF($F195="","",IF($G195="USD",$F195*TC,$F195))</f>
      </c>
      <c r="I195" s="19">
        <f>IF($F195="","",IF($G195="USD",$F195,$F195/TC))</f>
      </c>
      <c r="J195" s="11"/>
      <c r="K195" s="11"/>
      <c r="L195" s="11"/>
    </row>
    <row r="196" ht="22" customHeight="1" spans="1:12" x14ac:dyDescent="0.25">
      <c r="A196" s="16"/>
      <c r="B196" s="11"/>
      <c r="C196" s="11">
        <f>IF($B196="","",IFERROR(VLOOKUP($B196,Inquilinos!$A:$B,2,0),"ID inexistente"))</f>
      </c>
      <c r="D196" s="15">
        <f>IF($A196="","",MONTH($A196))</f>
      </c>
      <c r="E196" s="11"/>
      <c r="F196" s="7"/>
      <c r="G196" s="15"/>
      <c r="H196" s="15">
        <f>IF($F196="","",IF($G196="USD",$F196*TC,$F196))</f>
      </c>
      <c r="I196" s="19">
        <f>IF($F196="","",IF($G196="USD",$F196,$F196/TC))</f>
      </c>
      <c r="J196" s="11"/>
      <c r="K196" s="11"/>
      <c r="L196" s="11"/>
    </row>
    <row r="197" ht="22" customHeight="1" spans="1:12" x14ac:dyDescent="0.25">
      <c r="A197" s="16"/>
      <c r="B197" s="11"/>
      <c r="C197" s="11">
        <f>IF($B197="","",IFERROR(VLOOKUP($B197,Inquilinos!$A:$B,2,0),"ID inexistente"))</f>
      </c>
      <c r="D197" s="15">
        <f>IF($A197="","",MONTH($A197))</f>
      </c>
      <c r="E197" s="11"/>
      <c r="F197" s="7"/>
      <c r="G197" s="15"/>
      <c r="H197" s="15">
        <f>IF($F197="","",IF($G197="USD",$F197*TC,$F197))</f>
      </c>
      <c r="I197" s="19">
        <f>IF($F197="","",IF($G197="USD",$F197,$F197/TC))</f>
      </c>
      <c r="J197" s="11"/>
      <c r="K197" s="11"/>
      <c r="L197" s="11"/>
    </row>
    <row r="198" ht="22" customHeight="1" spans="1:12" x14ac:dyDescent="0.25">
      <c r="A198" s="16"/>
      <c r="B198" s="11"/>
      <c r="C198" s="11">
        <f>IF($B198="","",IFERROR(VLOOKUP($B198,Inquilinos!$A:$B,2,0),"ID inexistente"))</f>
      </c>
      <c r="D198" s="15">
        <f>IF($A198="","",MONTH($A198))</f>
      </c>
      <c r="E198" s="11"/>
      <c r="F198" s="7"/>
      <c r="G198" s="15"/>
      <c r="H198" s="15">
        <f>IF($F198="","",IF($G198="USD",$F198*TC,$F198))</f>
      </c>
      <c r="I198" s="19">
        <f>IF($F198="","",IF($G198="USD",$F198,$F198/TC))</f>
      </c>
      <c r="J198" s="11"/>
      <c r="K198" s="11"/>
      <c r="L198" s="11"/>
    </row>
    <row r="199" ht="22" customHeight="1" spans="1:12" x14ac:dyDescent="0.25">
      <c r="A199" s="16"/>
      <c r="B199" s="11"/>
      <c r="C199" s="11">
        <f>IF($B199="","",IFERROR(VLOOKUP($B199,Inquilinos!$A:$B,2,0),"ID inexistente"))</f>
      </c>
      <c r="D199" s="15">
        <f>IF($A199="","",MONTH($A199))</f>
      </c>
      <c r="E199" s="11"/>
      <c r="F199" s="7"/>
      <c r="G199" s="15"/>
      <c r="H199" s="15">
        <f>IF($F199="","",IF($G199="USD",$F199*TC,$F199))</f>
      </c>
      <c r="I199" s="19">
        <f>IF($F199="","",IF($G199="USD",$F199,$F199/TC))</f>
      </c>
      <c r="J199" s="11"/>
      <c r="K199" s="11"/>
      <c r="L199" s="11"/>
    </row>
    <row r="200" ht="22" customHeight="1" spans="1:12" x14ac:dyDescent="0.25">
      <c r="A200" s="16"/>
      <c r="B200" s="11"/>
      <c r="C200" s="11">
        <f>IF($B200="","",IFERROR(VLOOKUP($B200,Inquilinos!$A:$B,2,0),"ID inexistente"))</f>
      </c>
      <c r="D200" s="15">
        <f>IF($A200="","",MONTH($A200))</f>
      </c>
      <c r="E200" s="11"/>
      <c r="F200" s="7"/>
      <c r="G200" s="15"/>
      <c r="H200" s="15">
        <f>IF($F200="","",IF($G200="USD",$F200*TC,$F200))</f>
      </c>
      <c r="I200" s="19">
        <f>IF($F200="","",IF($G200="USD",$F200,$F200/TC))</f>
      </c>
      <c r="J200" s="11"/>
      <c r="K200" s="11"/>
      <c r="L200" s="11"/>
    </row>
    <row r="201" ht="22" customHeight="1" spans="1:12" x14ac:dyDescent="0.25">
      <c r="A201" s="16"/>
      <c r="B201" s="11"/>
      <c r="C201" s="11">
        <f>IF($B201="","",IFERROR(VLOOKUP($B201,Inquilinos!$A:$B,2,0),"ID inexistente"))</f>
      </c>
      <c r="D201" s="15">
        <f>IF($A201="","",MONTH($A201))</f>
      </c>
      <c r="E201" s="11"/>
      <c r="F201" s="7"/>
      <c r="G201" s="15"/>
      <c r="H201" s="15">
        <f>IF($F201="","",IF($G201="USD",$F201*TC,$F201))</f>
      </c>
      <c r="I201" s="19">
        <f>IF($F201="","",IF($G201="USD",$F201,$F201/TC))</f>
      </c>
      <c r="J201" s="11"/>
      <c r="K201" s="11"/>
      <c r="L201" s="11"/>
    </row>
    <row r="202" ht="22" customHeight="1" spans="1:12" x14ac:dyDescent="0.25">
      <c r="A202" s="16"/>
      <c r="B202" s="11"/>
      <c r="C202" s="11">
        <f>IF($B202="","",IFERROR(VLOOKUP($B202,Inquilinos!$A:$B,2,0),"ID inexistente"))</f>
      </c>
      <c r="D202" s="15">
        <f>IF($A202="","",MONTH($A202))</f>
      </c>
      <c r="E202" s="11"/>
      <c r="F202" s="7"/>
      <c r="G202" s="15"/>
      <c r="H202" s="15">
        <f>IF($F202="","",IF($G202="USD",$F202*TC,$F202))</f>
      </c>
      <c r="I202" s="19">
        <f>IF($F202="","",IF($G202="USD",$F202,$F202/TC))</f>
      </c>
      <c r="J202" s="11"/>
      <c r="K202" s="11"/>
      <c r="L202" s="11"/>
    </row>
    <row r="203" ht="22" customHeight="1" spans="1:12" x14ac:dyDescent="0.25">
      <c r="A203" s="16"/>
      <c r="B203" s="11"/>
      <c r="C203" s="11">
        <f>IF($B203="","",IFERROR(VLOOKUP($B203,Inquilinos!$A:$B,2,0),"ID inexistente"))</f>
      </c>
      <c r="D203" s="15">
        <f>IF($A203="","",MONTH($A203))</f>
      </c>
      <c r="E203" s="11"/>
      <c r="F203" s="7"/>
      <c r="G203" s="15"/>
      <c r="H203" s="15">
        <f>IF($F203="","",IF($G203="USD",$F203*TC,$F203))</f>
      </c>
      <c r="I203" s="19">
        <f>IF($F203="","",IF($G203="USD",$F203,$F203/TC))</f>
      </c>
      <c r="J203" s="11"/>
      <c r="K203" s="11"/>
      <c r="L203" s="11"/>
    </row>
    <row r="204" ht="22" customHeight="1" spans="1:12" x14ac:dyDescent="0.25">
      <c r="A204" s="16"/>
      <c r="B204" s="11"/>
      <c r="C204" s="11">
        <f>IF($B204="","",IFERROR(VLOOKUP($B204,Inquilinos!$A:$B,2,0),"ID inexistente"))</f>
      </c>
      <c r="D204" s="15">
        <f>IF($A204="","",MONTH($A204))</f>
      </c>
      <c r="E204" s="11"/>
      <c r="F204" s="7"/>
      <c r="G204" s="15"/>
      <c r="H204" s="15">
        <f>IF($F204="","",IF($G204="USD",$F204*TC,$F204))</f>
      </c>
      <c r="I204" s="19">
        <f>IF($F204="","",IF($G204="USD",$F204,$F204/TC))</f>
      </c>
      <c r="J204" s="11"/>
      <c r="K204" s="11"/>
      <c r="L204" s="11"/>
    </row>
    <row r="205" ht="22" customHeight="1" spans="1:12" x14ac:dyDescent="0.25">
      <c r="A205" s="16"/>
      <c r="B205" s="11"/>
      <c r="C205" s="11">
        <f>IF($B205="","",IFERROR(VLOOKUP($B205,Inquilinos!$A:$B,2,0),"ID inexistente"))</f>
      </c>
      <c r="D205" s="15">
        <f>IF($A205="","",MONTH($A205))</f>
      </c>
      <c r="E205" s="11"/>
      <c r="F205" s="7"/>
      <c r="G205" s="15"/>
      <c r="H205" s="15">
        <f>IF($F205="","",IF($G205="USD",$F205*TC,$F205))</f>
      </c>
      <c r="I205" s="19">
        <f>IF($F205="","",IF($G205="USD",$F205,$F205/TC))</f>
      </c>
      <c r="J205" s="11"/>
      <c r="K205" s="11"/>
      <c r="L205" s="11"/>
    </row>
    <row r="206" ht="22" customHeight="1" spans="1:12" x14ac:dyDescent="0.25">
      <c r="A206" s="16"/>
      <c r="B206" s="11"/>
      <c r="C206" s="11">
        <f>IF($B206="","",IFERROR(VLOOKUP($B206,Inquilinos!$A:$B,2,0),"ID inexistente"))</f>
      </c>
      <c r="D206" s="15">
        <f>IF($A206="","",MONTH($A206))</f>
      </c>
      <c r="E206" s="11"/>
      <c r="F206" s="7"/>
      <c r="G206" s="15"/>
      <c r="H206" s="15">
        <f>IF($F206="","",IF($G206="USD",$F206*TC,$F206))</f>
      </c>
      <c r="I206" s="19">
        <f>IF($F206="","",IF($G206="USD",$F206,$F206/TC))</f>
      </c>
      <c r="J206" s="11"/>
      <c r="K206" s="11"/>
      <c r="L206" s="11"/>
    </row>
    <row r="207" ht="22" customHeight="1" spans="1:12" x14ac:dyDescent="0.25">
      <c r="A207" s="16"/>
      <c r="B207" s="11"/>
      <c r="C207" s="11">
        <f>IF($B207="","",IFERROR(VLOOKUP($B207,Inquilinos!$A:$B,2,0),"ID inexistente"))</f>
      </c>
      <c r="D207" s="15">
        <f>IF($A207="","",MONTH($A207))</f>
      </c>
      <c r="E207" s="11"/>
      <c r="F207" s="7"/>
      <c r="G207" s="15"/>
      <c r="H207" s="15">
        <f>IF($F207="","",IF($G207="USD",$F207*TC,$F207))</f>
      </c>
      <c r="I207" s="19">
        <f>IF($F207="","",IF($G207="USD",$F207,$F207/TC))</f>
      </c>
      <c r="J207" s="11"/>
      <c r="K207" s="11"/>
      <c r="L207" s="11"/>
    </row>
    <row r="208" ht="22" customHeight="1" spans="1:12" x14ac:dyDescent="0.25">
      <c r="A208" s="16"/>
      <c r="B208" s="11"/>
      <c r="C208" s="11">
        <f>IF($B208="","",IFERROR(VLOOKUP($B208,Inquilinos!$A:$B,2,0),"ID inexistente"))</f>
      </c>
      <c r="D208" s="15">
        <f>IF($A208="","",MONTH($A208))</f>
      </c>
      <c r="E208" s="11"/>
      <c r="F208" s="7"/>
      <c r="G208" s="15"/>
      <c r="H208" s="15">
        <f>IF($F208="","",IF($G208="USD",$F208*TC,$F208))</f>
      </c>
      <c r="I208" s="19">
        <f>IF($F208="","",IF($G208="USD",$F208,$F208/TC))</f>
      </c>
      <c r="J208" s="11"/>
      <c r="K208" s="11"/>
      <c r="L208" s="11"/>
    </row>
    <row r="209" ht="22" customHeight="1" spans="1:12" x14ac:dyDescent="0.25">
      <c r="A209" s="16"/>
      <c r="B209" s="11"/>
      <c r="C209" s="11">
        <f>IF($B209="","",IFERROR(VLOOKUP($B209,Inquilinos!$A:$B,2,0),"ID inexistente"))</f>
      </c>
      <c r="D209" s="15">
        <f>IF($A209="","",MONTH($A209))</f>
      </c>
      <c r="E209" s="11"/>
      <c r="F209" s="7"/>
      <c r="G209" s="15"/>
      <c r="H209" s="15">
        <f>IF($F209="","",IF($G209="USD",$F209*TC,$F209))</f>
      </c>
      <c r="I209" s="19">
        <f>IF($F209="","",IF($G209="USD",$F209,$F209/TC))</f>
      </c>
      <c r="J209" s="11"/>
      <c r="K209" s="11"/>
      <c r="L209" s="11"/>
    </row>
    <row r="210" ht="22" customHeight="1" spans="1:12" x14ac:dyDescent="0.25">
      <c r="A210" s="16"/>
      <c r="B210" s="11"/>
      <c r="C210" s="11">
        <f>IF($B210="","",IFERROR(VLOOKUP($B210,Inquilinos!$A:$B,2,0),"ID inexistente"))</f>
      </c>
      <c r="D210" s="15">
        <f>IF($A210="","",MONTH($A210))</f>
      </c>
      <c r="E210" s="11"/>
      <c r="F210" s="7"/>
      <c r="G210" s="15"/>
      <c r="H210" s="15">
        <f>IF($F210="","",IF($G210="USD",$F210*TC,$F210))</f>
      </c>
      <c r="I210" s="19">
        <f>IF($F210="","",IF($G210="USD",$F210,$F210/TC))</f>
      </c>
      <c r="J210" s="11"/>
      <c r="K210" s="11"/>
      <c r="L210" s="11"/>
    </row>
    <row r="211" ht="22" customHeight="1" spans="1:12" x14ac:dyDescent="0.25">
      <c r="A211" s="16"/>
      <c r="B211" s="11"/>
      <c r="C211" s="11">
        <f>IF($B211="","",IFERROR(VLOOKUP($B211,Inquilinos!$A:$B,2,0),"ID inexistente"))</f>
      </c>
      <c r="D211" s="15">
        <f>IF($A211="","",MONTH($A211))</f>
      </c>
      <c r="E211" s="11"/>
      <c r="F211" s="7"/>
      <c r="G211" s="15"/>
      <c r="H211" s="15">
        <f>IF($F211="","",IF($G211="USD",$F211*TC,$F211))</f>
      </c>
      <c r="I211" s="19">
        <f>IF($F211="","",IF($G211="USD",$F211,$F211/TC))</f>
      </c>
      <c r="J211" s="11"/>
      <c r="K211" s="11"/>
      <c r="L211" s="11"/>
    </row>
    <row r="212" ht="22" customHeight="1" spans="1:12" x14ac:dyDescent="0.25">
      <c r="A212" s="16"/>
      <c r="B212" s="11"/>
      <c r="C212" s="11">
        <f>IF($B212="","",IFERROR(VLOOKUP($B212,Inquilinos!$A:$B,2,0),"ID inexistente"))</f>
      </c>
      <c r="D212" s="15">
        <f>IF($A212="","",MONTH($A212))</f>
      </c>
      <c r="E212" s="11"/>
      <c r="F212" s="7"/>
      <c r="G212" s="15"/>
      <c r="H212" s="15">
        <f>IF($F212="","",IF($G212="USD",$F212*TC,$F212))</f>
      </c>
      <c r="I212" s="19">
        <f>IF($F212="","",IF($G212="USD",$F212,$F212/TC))</f>
      </c>
      <c r="J212" s="11"/>
      <c r="K212" s="11"/>
      <c r="L212" s="11"/>
    </row>
    <row r="213" ht="22" customHeight="1" spans="1:12" x14ac:dyDescent="0.25">
      <c r="A213" s="16"/>
      <c r="B213" s="11"/>
      <c r="C213" s="11">
        <f>IF($B213="","",IFERROR(VLOOKUP($B213,Inquilinos!$A:$B,2,0),"ID inexistente"))</f>
      </c>
      <c r="D213" s="15">
        <f>IF($A213="","",MONTH($A213))</f>
      </c>
      <c r="E213" s="11"/>
      <c r="F213" s="7"/>
      <c r="G213" s="15"/>
      <c r="H213" s="15">
        <f>IF($F213="","",IF($G213="USD",$F213*TC,$F213))</f>
      </c>
      <c r="I213" s="19">
        <f>IF($F213="","",IF($G213="USD",$F213,$F213/TC))</f>
      </c>
      <c r="J213" s="11"/>
      <c r="K213" s="11"/>
      <c r="L213" s="11"/>
    </row>
    <row r="214" ht="22" customHeight="1" spans="1:12" x14ac:dyDescent="0.25">
      <c r="A214" s="16"/>
      <c r="B214" s="11"/>
      <c r="C214" s="11">
        <f>IF($B214="","",IFERROR(VLOOKUP($B214,Inquilinos!$A:$B,2,0),"ID inexistente"))</f>
      </c>
      <c r="D214" s="15">
        <f>IF($A214="","",MONTH($A214))</f>
      </c>
      <c r="E214" s="11"/>
      <c r="F214" s="7"/>
      <c r="G214" s="15"/>
      <c r="H214" s="15">
        <f>IF($F214="","",IF($G214="USD",$F214*TC,$F214))</f>
      </c>
      <c r="I214" s="19">
        <f>IF($F214="","",IF($G214="USD",$F214,$F214/TC))</f>
      </c>
      <c r="J214" s="11"/>
      <c r="K214" s="11"/>
      <c r="L214" s="11"/>
    </row>
    <row r="215" ht="22" customHeight="1" spans="1:12" x14ac:dyDescent="0.25">
      <c r="A215" s="16"/>
      <c r="B215" s="11"/>
      <c r="C215" s="11">
        <f>IF($B215="","",IFERROR(VLOOKUP($B215,Inquilinos!$A:$B,2,0),"ID inexistente"))</f>
      </c>
      <c r="D215" s="15">
        <f>IF($A215="","",MONTH($A215))</f>
      </c>
      <c r="E215" s="11"/>
      <c r="F215" s="7"/>
      <c r="G215" s="15"/>
      <c r="H215" s="15">
        <f>IF($F215="","",IF($G215="USD",$F215*TC,$F215))</f>
      </c>
      <c r="I215" s="19">
        <f>IF($F215="","",IF($G215="USD",$F215,$F215/TC))</f>
      </c>
      <c r="J215" s="11"/>
      <c r="K215" s="11"/>
      <c r="L215" s="11"/>
    </row>
    <row r="216" ht="22" customHeight="1" spans="1:12" x14ac:dyDescent="0.25">
      <c r="A216" s="16"/>
      <c r="B216" s="11"/>
      <c r="C216" s="11">
        <f>IF($B216="","",IFERROR(VLOOKUP($B216,Inquilinos!$A:$B,2,0),"ID inexistente"))</f>
      </c>
      <c r="D216" s="15">
        <f>IF($A216="","",MONTH($A216))</f>
      </c>
      <c r="E216" s="11"/>
      <c r="F216" s="7"/>
      <c r="G216" s="15"/>
      <c r="H216" s="15">
        <f>IF($F216="","",IF($G216="USD",$F216*TC,$F216))</f>
      </c>
      <c r="I216" s="19">
        <f>IF($F216="","",IF($G216="USD",$F216,$F216/TC))</f>
      </c>
      <c r="J216" s="11"/>
      <c r="K216" s="11"/>
      <c r="L216" s="11"/>
    </row>
    <row r="217" ht="22" customHeight="1" spans="1:12" x14ac:dyDescent="0.25">
      <c r="A217" s="16"/>
      <c r="B217" s="11"/>
      <c r="C217" s="11">
        <f>IF($B217="","",IFERROR(VLOOKUP($B217,Inquilinos!$A:$B,2,0),"ID inexistente"))</f>
      </c>
      <c r="D217" s="15">
        <f>IF($A217="","",MONTH($A217))</f>
      </c>
      <c r="E217" s="11"/>
      <c r="F217" s="7"/>
      <c r="G217" s="15"/>
      <c r="H217" s="15">
        <f>IF($F217="","",IF($G217="USD",$F217*TC,$F217))</f>
      </c>
      <c r="I217" s="19">
        <f>IF($F217="","",IF($G217="USD",$F217,$F217/TC))</f>
      </c>
      <c r="J217" s="11"/>
      <c r="K217" s="11"/>
      <c r="L217" s="11"/>
    </row>
    <row r="218" ht="22" customHeight="1" spans="1:12" x14ac:dyDescent="0.25">
      <c r="A218" s="16"/>
      <c r="B218" s="11"/>
      <c r="C218" s="11">
        <f>IF($B218="","",IFERROR(VLOOKUP($B218,Inquilinos!$A:$B,2,0),"ID inexistente"))</f>
      </c>
      <c r="D218" s="15">
        <f>IF($A218="","",MONTH($A218))</f>
      </c>
      <c r="E218" s="11"/>
      <c r="F218" s="7"/>
      <c r="G218" s="15"/>
      <c r="H218" s="15">
        <f>IF($F218="","",IF($G218="USD",$F218*TC,$F218))</f>
      </c>
      <c r="I218" s="19">
        <f>IF($F218="","",IF($G218="USD",$F218,$F218/TC))</f>
      </c>
      <c r="J218" s="11"/>
      <c r="K218" s="11"/>
      <c r="L218" s="11"/>
    </row>
    <row r="219" ht="22" customHeight="1" spans="1:12" x14ac:dyDescent="0.25">
      <c r="A219" s="16"/>
      <c r="B219" s="11"/>
      <c r="C219" s="11">
        <f>IF($B219="","",IFERROR(VLOOKUP($B219,Inquilinos!$A:$B,2,0),"ID inexistente"))</f>
      </c>
      <c r="D219" s="15">
        <f>IF($A219="","",MONTH($A219))</f>
      </c>
      <c r="E219" s="11"/>
      <c r="F219" s="7"/>
      <c r="G219" s="15"/>
      <c r="H219" s="15">
        <f>IF($F219="","",IF($G219="USD",$F219*TC,$F219))</f>
      </c>
      <c r="I219" s="19">
        <f>IF($F219="","",IF($G219="USD",$F219,$F219/TC))</f>
      </c>
      <c r="J219" s="11"/>
      <c r="K219" s="11"/>
      <c r="L219" s="11"/>
    </row>
    <row r="220" ht="22" customHeight="1" spans="1:12" x14ac:dyDescent="0.25">
      <c r="A220" s="16"/>
      <c r="B220" s="11"/>
      <c r="C220" s="11">
        <f>IF($B220="","",IFERROR(VLOOKUP($B220,Inquilinos!$A:$B,2,0),"ID inexistente"))</f>
      </c>
      <c r="D220" s="15">
        <f>IF($A220="","",MONTH($A220))</f>
      </c>
      <c r="E220" s="11"/>
      <c r="F220" s="7"/>
      <c r="G220" s="15"/>
      <c r="H220" s="15">
        <f>IF($F220="","",IF($G220="USD",$F220*TC,$F220))</f>
      </c>
      <c r="I220" s="19">
        <f>IF($F220="","",IF($G220="USD",$F220,$F220/TC))</f>
      </c>
      <c r="J220" s="11"/>
      <c r="K220" s="11"/>
      <c r="L220" s="11"/>
    </row>
    <row r="221" ht="22" customHeight="1" spans="1:12" x14ac:dyDescent="0.25">
      <c r="A221" s="16"/>
      <c r="B221" s="11"/>
      <c r="C221" s="11">
        <f>IF($B221="","",IFERROR(VLOOKUP($B221,Inquilinos!$A:$B,2,0),"ID inexistente"))</f>
      </c>
      <c r="D221" s="15">
        <f>IF($A221="","",MONTH($A221))</f>
      </c>
      <c r="E221" s="11"/>
      <c r="F221" s="7"/>
      <c r="G221" s="15"/>
      <c r="H221" s="15">
        <f>IF($F221="","",IF($G221="USD",$F221*TC,$F221))</f>
      </c>
      <c r="I221" s="19">
        <f>IF($F221="","",IF($G221="USD",$F221,$F221/TC))</f>
      </c>
      <c r="J221" s="11"/>
      <c r="K221" s="11"/>
      <c r="L221" s="11"/>
    </row>
    <row r="222" ht="22" customHeight="1" spans="1:12" x14ac:dyDescent="0.25">
      <c r="A222" s="16"/>
      <c r="B222" s="11"/>
      <c r="C222" s="11">
        <f>IF($B222="","",IFERROR(VLOOKUP($B222,Inquilinos!$A:$B,2,0),"ID inexistente"))</f>
      </c>
      <c r="D222" s="15">
        <f>IF($A222="","",MONTH($A222))</f>
      </c>
      <c r="E222" s="11"/>
      <c r="F222" s="7"/>
      <c r="G222" s="15"/>
      <c r="H222" s="15">
        <f>IF($F222="","",IF($G222="USD",$F222*TC,$F222))</f>
      </c>
      <c r="I222" s="19">
        <f>IF($F222="","",IF($G222="USD",$F222,$F222/TC))</f>
      </c>
      <c r="J222" s="11"/>
      <c r="K222" s="11"/>
      <c r="L222" s="11"/>
    </row>
    <row r="223" ht="22" customHeight="1" spans="1:12" x14ac:dyDescent="0.25">
      <c r="A223" s="16"/>
      <c r="B223" s="11"/>
      <c r="C223" s="11">
        <f>IF($B223="","",IFERROR(VLOOKUP($B223,Inquilinos!$A:$B,2,0),"ID inexistente"))</f>
      </c>
      <c r="D223" s="15">
        <f>IF($A223="","",MONTH($A223))</f>
      </c>
      <c r="E223" s="11"/>
      <c r="F223" s="7"/>
      <c r="G223" s="15"/>
      <c r="H223" s="15">
        <f>IF($F223="","",IF($G223="USD",$F223*TC,$F223))</f>
      </c>
      <c r="I223" s="19">
        <f>IF($F223="","",IF($G223="USD",$F223,$F223/TC))</f>
      </c>
      <c r="J223" s="11"/>
      <c r="K223" s="11"/>
      <c r="L223" s="11"/>
    </row>
    <row r="224" ht="22" customHeight="1" spans="1:12" x14ac:dyDescent="0.25">
      <c r="A224" s="16"/>
      <c r="B224" s="11"/>
      <c r="C224" s="11">
        <f>IF($B224="","",IFERROR(VLOOKUP($B224,Inquilinos!$A:$B,2,0),"ID inexistente"))</f>
      </c>
      <c r="D224" s="15">
        <f>IF($A224="","",MONTH($A224))</f>
      </c>
      <c r="E224" s="11"/>
      <c r="F224" s="7"/>
      <c r="G224" s="15"/>
      <c r="H224" s="15">
        <f>IF($F224="","",IF($G224="USD",$F224*TC,$F224))</f>
      </c>
      <c r="I224" s="19">
        <f>IF($F224="","",IF($G224="USD",$F224,$F224/TC))</f>
      </c>
      <c r="J224" s="11"/>
      <c r="K224" s="11"/>
      <c r="L224" s="11"/>
    </row>
    <row r="225" ht="22" customHeight="1" spans="1:12" x14ac:dyDescent="0.25">
      <c r="A225" s="16"/>
      <c r="B225" s="11"/>
      <c r="C225" s="11">
        <f>IF($B225="","",IFERROR(VLOOKUP($B225,Inquilinos!$A:$B,2,0),"ID inexistente"))</f>
      </c>
      <c r="D225" s="15">
        <f>IF($A225="","",MONTH($A225))</f>
      </c>
      <c r="E225" s="11"/>
      <c r="F225" s="7"/>
      <c r="G225" s="15"/>
      <c r="H225" s="15">
        <f>IF($F225="","",IF($G225="USD",$F225*TC,$F225))</f>
      </c>
      <c r="I225" s="19">
        <f>IF($F225="","",IF($G225="USD",$F225,$F225/TC))</f>
      </c>
      <c r="J225" s="11"/>
      <c r="K225" s="11"/>
      <c r="L225" s="11"/>
    </row>
    <row r="226" ht="22" customHeight="1" spans="1:12" x14ac:dyDescent="0.25">
      <c r="A226" s="16"/>
      <c r="B226" s="11"/>
      <c r="C226" s="11">
        <f>IF($B226="","",IFERROR(VLOOKUP($B226,Inquilinos!$A:$B,2,0),"ID inexistente"))</f>
      </c>
      <c r="D226" s="15">
        <f>IF($A226="","",MONTH($A226))</f>
      </c>
      <c r="E226" s="11"/>
      <c r="F226" s="7"/>
      <c r="G226" s="15"/>
      <c r="H226" s="15">
        <f>IF($F226="","",IF($G226="USD",$F226*TC,$F226))</f>
      </c>
      <c r="I226" s="19">
        <f>IF($F226="","",IF($G226="USD",$F226,$F226/TC))</f>
      </c>
      <c r="J226" s="11"/>
      <c r="K226" s="11"/>
      <c r="L226" s="11"/>
    </row>
    <row r="227" ht="22" customHeight="1" spans="1:12" x14ac:dyDescent="0.25">
      <c r="A227" s="16"/>
      <c r="B227" s="11"/>
      <c r="C227" s="11">
        <f>IF($B227="","",IFERROR(VLOOKUP($B227,Inquilinos!$A:$B,2,0),"ID inexistente"))</f>
      </c>
      <c r="D227" s="15">
        <f>IF($A227="","",MONTH($A227))</f>
      </c>
      <c r="E227" s="11"/>
      <c r="F227" s="7"/>
      <c r="G227" s="15"/>
      <c r="H227" s="15">
        <f>IF($F227="","",IF($G227="USD",$F227*TC,$F227))</f>
      </c>
      <c r="I227" s="19">
        <f>IF($F227="","",IF($G227="USD",$F227,$F227/TC))</f>
      </c>
      <c r="J227" s="11"/>
      <c r="K227" s="11"/>
      <c r="L227" s="11"/>
    </row>
    <row r="228" ht="22" customHeight="1" spans="1:12" x14ac:dyDescent="0.25">
      <c r="A228" s="16"/>
      <c r="B228" s="11"/>
      <c r="C228" s="11">
        <f>IF($B228="","",IFERROR(VLOOKUP($B228,Inquilinos!$A:$B,2,0),"ID inexistente"))</f>
      </c>
      <c r="D228" s="15">
        <f>IF($A228="","",MONTH($A228))</f>
      </c>
      <c r="E228" s="11"/>
      <c r="F228" s="7"/>
      <c r="G228" s="15"/>
      <c r="H228" s="15">
        <f>IF($F228="","",IF($G228="USD",$F228*TC,$F228))</f>
      </c>
      <c r="I228" s="19">
        <f>IF($F228="","",IF($G228="USD",$F228,$F228/TC))</f>
      </c>
      <c r="J228" s="11"/>
      <c r="K228" s="11"/>
      <c r="L228" s="11"/>
    </row>
    <row r="229" ht="22" customHeight="1" spans="1:12" x14ac:dyDescent="0.25">
      <c r="A229" s="16"/>
      <c r="B229" s="11"/>
      <c r="C229" s="11">
        <f>IF($B229="","",IFERROR(VLOOKUP($B229,Inquilinos!$A:$B,2,0),"ID inexistente"))</f>
      </c>
      <c r="D229" s="15">
        <f>IF($A229="","",MONTH($A229))</f>
      </c>
      <c r="E229" s="11"/>
      <c r="F229" s="7"/>
      <c r="G229" s="15"/>
      <c r="H229" s="15">
        <f>IF($F229="","",IF($G229="USD",$F229*TC,$F229))</f>
      </c>
      <c r="I229" s="19">
        <f>IF($F229="","",IF($G229="USD",$F229,$F229/TC))</f>
      </c>
      <c r="J229" s="11"/>
      <c r="K229" s="11"/>
      <c r="L229" s="11"/>
    </row>
    <row r="230" ht="22" customHeight="1" spans="1:12" x14ac:dyDescent="0.25">
      <c r="A230" s="16"/>
      <c r="B230" s="11"/>
      <c r="C230" s="11">
        <f>IF($B230="","",IFERROR(VLOOKUP($B230,Inquilinos!$A:$B,2,0),"ID inexistente"))</f>
      </c>
      <c r="D230" s="15">
        <f>IF($A230="","",MONTH($A230))</f>
      </c>
      <c r="E230" s="11"/>
      <c r="F230" s="7"/>
      <c r="G230" s="15"/>
      <c r="H230" s="15">
        <f>IF($F230="","",IF($G230="USD",$F230*TC,$F230))</f>
      </c>
      <c r="I230" s="19">
        <f>IF($F230="","",IF($G230="USD",$F230,$F230/TC))</f>
      </c>
      <c r="J230" s="11"/>
      <c r="K230" s="11"/>
      <c r="L230" s="11"/>
    </row>
    <row r="231" ht="22" customHeight="1" spans="1:12" x14ac:dyDescent="0.25">
      <c r="A231" s="16"/>
      <c r="B231" s="11"/>
      <c r="C231" s="11">
        <f>IF($B231="","",IFERROR(VLOOKUP($B231,Inquilinos!$A:$B,2,0),"ID inexistente"))</f>
      </c>
      <c r="D231" s="15">
        <f>IF($A231="","",MONTH($A231))</f>
      </c>
      <c r="E231" s="11"/>
      <c r="F231" s="7"/>
      <c r="G231" s="15"/>
      <c r="H231" s="15">
        <f>IF($F231="","",IF($G231="USD",$F231*TC,$F231))</f>
      </c>
      <c r="I231" s="19">
        <f>IF($F231="","",IF($G231="USD",$F231,$F231/TC))</f>
      </c>
      <c r="J231" s="11"/>
      <c r="K231" s="11"/>
      <c r="L231" s="11"/>
    </row>
    <row r="232" ht="22" customHeight="1" spans="1:12" x14ac:dyDescent="0.25">
      <c r="A232" s="16"/>
      <c r="B232" s="11"/>
      <c r="C232" s="11">
        <f>IF($B232="","",IFERROR(VLOOKUP($B232,Inquilinos!$A:$B,2,0),"ID inexistente"))</f>
      </c>
      <c r="D232" s="15">
        <f>IF($A232="","",MONTH($A232))</f>
      </c>
      <c r="E232" s="11"/>
      <c r="F232" s="7"/>
      <c r="G232" s="15"/>
      <c r="H232" s="15">
        <f>IF($F232="","",IF($G232="USD",$F232*TC,$F232))</f>
      </c>
      <c r="I232" s="19">
        <f>IF($F232="","",IF($G232="USD",$F232,$F232/TC))</f>
      </c>
      <c r="J232" s="11"/>
      <c r="K232" s="11"/>
      <c r="L232" s="11"/>
    </row>
    <row r="233" ht="22" customHeight="1" spans="1:12" x14ac:dyDescent="0.25">
      <c r="A233" s="16"/>
      <c r="B233" s="11"/>
      <c r="C233" s="11">
        <f>IF($B233="","",IFERROR(VLOOKUP($B233,Inquilinos!$A:$B,2,0),"ID inexistente"))</f>
      </c>
      <c r="D233" s="15">
        <f>IF($A233="","",MONTH($A233))</f>
      </c>
      <c r="E233" s="11"/>
      <c r="F233" s="7"/>
      <c r="G233" s="15"/>
      <c r="H233" s="15">
        <f>IF($F233="","",IF($G233="USD",$F233*TC,$F233))</f>
      </c>
      <c r="I233" s="19">
        <f>IF($F233="","",IF($G233="USD",$F233,$F233/TC))</f>
      </c>
      <c r="J233" s="11"/>
      <c r="K233" s="11"/>
      <c r="L233" s="11"/>
    </row>
    <row r="234" ht="22" customHeight="1" spans="1:12" x14ac:dyDescent="0.25">
      <c r="A234" s="16"/>
      <c r="B234" s="11"/>
      <c r="C234" s="11">
        <f>IF($B234="","",IFERROR(VLOOKUP($B234,Inquilinos!$A:$B,2,0),"ID inexistente"))</f>
      </c>
      <c r="D234" s="15">
        <f>IF($A234="","",MONTH($A234))</f>
      </c>
      <c r="E234" s="11"/>
      <c r="F234" s="7"/>
      <c r="G234" s="15"/>
      <c r="H234" s="15">
        <f>IF($F234="","",IF($G234="USD",$F234*TC,$F234))</f>
      </c>
      <c r="I234" s="19">
        <f>IF($F234="","",IF($G234="USD",$F234,$F234/TC))</f>
      </c>
      <c r="J234" s="11"/>
      <c r="K234" s="11"/>
      <c r="L234" s="11"/>
    </row>
    <row r="235" ht="22" customHeight="1" spans="1:12" x14ac:dyDescent="0.25">
      <c r="A235" s="16"/>
      <c r="B235" s="11"/>
      <c r="C235" s="11">
        <f>IF($B235="","",IFERROR(VLOOKUP($B235,Inquilinos!$A:$B,2,0),"ID inexistente"))</f>
      </c>
      <c r="D235" s="15">
        <f>IF($A235="","",MONTH($A235))</f>
      </c>
      <c r="E235" s="11"/>
      <c r="F235" s="7"/>
      <c r="G235" s="15"/>
      <c r="H235" s="15">
        <f>IF($F235="","",IF($G235="USD",$F235*TC,$F235))</f>
      </c>
      <c r="I235" s="19">
        <f>IF($F235="","",IF($G235="USD",$F235,$F235/TC))</f>
      </c>
      <c r="J235" s="11"/>
      <c r="K235" s="11"/>
      <c r="L235" s="11"/>
    </row>
    <row r="236" ht="22" customHeight="1" spans="1:12" x14ac:dyDescent="0.25">
      <c r="A236" s="16"/>
      <c r="B236" s="11"/>
      <c r="C236" s="11">
        <f>IF($B236="","",IFERROR(VLOOKUP($B236,Inquilinos!$A:$B,2,0),"ID inexistente"))</f>
      </c>
      <c r="D236" s="15">
        <f>IF($A236="","",MONTH($A236))</f>
      </c>
      <c r="E236" s="11"/>
      <c r="F236" s="7"/>
      <c r="G236" s="15"/>
      <c r="H236" s="15">
        <f>IF($F236="","",IF($G236="USD",$F236*TC,$F236))</f>
      </c>
      <c r="I236" s="19">
        <f>IF($F236="","",IF($G236="USD",$F236,$F236/TC))</f>
      </c>
      <c r="J236" s="11"/>
      <c r="K236" s="11"/>
      <c r="L236" s="11"/>
    </row>
    <row r="237" ht="22" customHeight="1" spans="1:12" x14ac:dyDescent="0.25">
      <c r="A237" s="16"/>
      <c r="B237" s="11"/>
      <c r="C237" s="11">
        <f>IF($B237="","",IFERROR(VLOOKUP($B237,Inquilinos!$A:$B,2,0),"ID inexistente"))</f>
      </c>
      <c r="D237" s="15">
        <f>IF($A237="","",MONTH($A237))</f>
      </c>
      <c r="E237" s="11"/>
      <c r="F237" s="7"/>
      <c r="G237" s="15"/>
      <c r="H237" s="15">
        <f>IF($F237="","",IF($G237="USD",$F237*TC,$F237))</f>
      </c>
      <c r="I237" s="19">
        <f>IF($F237="","",IF($G237="USD",$F237,$F237/TC))</f>
      </c>
      <c r="J237" s="11"/>
      <c r="K237" s="11"/>
      <c r="L237" s="11"/>
    </row>
    <row r="238" ht="22" customHeight="1" spans="1:12" x14ac:dyDescent="0.25">
      <c r="A238" s="16"/>
      <c r="B238" s="11"/>
      <c r="C238" s="11">
        <f>IF($B238="","",IFERROR(VLOOKUP($B238,Inquilinos!$A:$B,2,0),"ID inexistente"))</f>
      </c>
      <c r="D238" s="15">
        <f>IF($A238="","",MONTH($A238))</f>
      </c>
      <c r="E238" s="11"/>
      <c r="F238" s="7"/>
      <c r="G238" s="15"/>
      <c r="H238" s="15">
        <f>IF($F238="","",IF($G238="USD",$F238*TC,$F238))</f>
      </c>
      <c r="I238" s="19">
        <f>IF($F238="","",IF($G238="USD",$F238,$F238/TC))</f>
      </c>
      <c r="J238" s="11"/>
      <c r="K238" s="11"/>
      <c r="L238" s="11"/>
    </row>
    <row r="239" ht="22" customHeight="1" spans="1:12" x14ac:dyDescent="0.25">
      <c r="A239" s="16"/>
      <c r="B239" s="11"/>
      <c r="C239" s="11">
        <f>IF($B239="","",IFERROR(VLOOKUP($B239,Inquilinos!$A:$B,2,0),"ID inexistente"))</f>
      </c>
      <c r="D239" s="15">
        <f>IF($A239="","",MONTH($A239))</f>
      </c>
      <c r="E239" s="11"/>
      <c r="F239" s="7"/>
      <c r="G239" s="15"/>
      <c r="H239" s="15">
        <f>IF($F239="","",IF($G239="USD",$F239*TC,$F239))</f>
      </c>
      <c r="I239" s="19">
        <f>IF($F239="","",IF($G239="USD",$F239,$F239/TC))</f>
      </c>
      <c r="J239" s="11"/>
      <c r="K239" s="11"/>
      <c r="L239" s="11"/>
    </row>
    <row r="240" ht="22" customHeight="1" spans="1:12" x14ac:dyDescent="0.25">
      <c r="A240" s="16"/>
      <c r="B240" s="11"/>
      <c r="C240" s="11">
        <f>IF($B240="","",IFERROR(VLOOKUP($B240,Inquilinos!$A:$B,2,0),"ID inexistente"))</f>
      </c>
      <c r="D240" s="15">
        <f>IF($A240="","",MONTH($A240))</f>
      </c>
      <c r="E240" s="11"/>
      <c r="F240" s="7"/>
      <c r="G240" s="15"/>
      <c r="H240" s="15">
        <f>IF($F240="","",IF($G240="USD",$F240*TC,$F240))</f>
      </c>
      <c r="I240" s="19">
        <f>IF($F240="","",IF($G240="USD",$F240,$F240/TC))</f>
      </c>
      <c r="J240" s="11"/>
      <c r="K240" s="11"/>
      <c r="L240" s="11"/>
    </row>
    <row r="241" ht="22" customHeight="1" spans="1:12" x14ac:dyDescent="0.25">
      <c r="A241" s="16"/>
      <c r="B241" s="11"/>
      <c r="C241" s="11">
        <f>IF($B241="","",IFERROR(VLOOKUP($B241,Inquilinos!$A:$B,2,0),"ID inexistente"))</f>
      </c>
      <c r="D241" s="15">
        <f>IF($A241="","",MONTH($A241))</f>
      </c>
      <c r="E241" s="11"/>
      <c r="F241" s="7"/>
      <c r="G241" s="15"/>
      <c r="H241" s="15">
        <f>IF($F241="","",IF($G241="USD",$F241*TC,$F241))</f>
      </c>
      <c r="I241" s="19">
        <f>IF($F241="","",IF($G241="USD",$F241,$F241/TC))</f>
      </c>
      <c r="J241" s="11"/>
      <c r="K241" s="11"/>
      <c r="L241" s="11"/>
    </row>
    <row r="242" ht="22" customHeight="1" spans="1:12" x14ac:dyDescent="0.25">
      <c r="A242" s="16"/>
      <c r="B242" s="11"/>
      <c r="C242" s="11">
        <f>IF($B242="","",IFERROR(VLOOKUP($B242,Inquilinos!$A:$B,2,0),"ID inexistente"))</f>
      </c>
      <c r="D242" s="15">
        <f>IF($A242="","",MONTH($A242))</f>
      </c>
      <c r="E242" s="11"/>
      <c r="F242" s="7"/>
      <c r="G242" s="15"/>
      <c r="H242" s="15">
        <f>IF($F242="","",IF($G242="USD",$F242*TC,$F242))</f>
      </c>
      <c r="I242" s="19">
        <f>IF($F242="","",IF($G242="USD",$F242,$F242/TC))</f>
      </c>
      <c r="J242" s="11"/>
      <c r="K242" s="11"/>
      <c r="L242" s="11"/>
    </row>
    <row r="243" ht="22" customHeight="1" spans="1:12" x14ac:dyDescent="0.25">
      <c r="A243" s="16"/>
      <c r="B243" s="11"/>
      <c r="C243" s="11">
        <f>IF($B243="","",IFERROR(VLOOKUP($B243,Inquilinos!$A:$B,2,0),"ID inexistente"))</f>
      </c>
      <c r="D243" s="15">
        <f>IF($A243="","",MONTH($A243))</f>
      </c>
      <c r="E243" s="11"/>
      <c r="F243" s="7"/>
      <c r="G243" s="15"/>
      <c r="H243" s="15">
        <f>IF($F243="","",IF($G243="USD",$F243*TC,$F243))</f>
      </c>
      <c r="I243" s="19">
        <f>IF($F243="","",IF($G243="USD",$F243,$F243/TC))</f>
      </c>
      <c r="J243" s="11"/>
      <c r="K243" s="11"/>
      <c r="L243" s="11"/>
    </row>
    <row r="244" ht="22" customHeight="1" spans="1:12" x14ac:dyDescent="0.25">
      <c r="A244" s="16"/>
      <c r="B244" s="11"/>
      <c r="C244" s="11">
        <f>IF($B244="","",IFERROR(VLOOKUP($B244,Inquilinos!$A:$B,2,0),"ID inexistente"))</f>
      </c>
      <c r="D244" s="15">
        <f>IF($A244="","",MONTH($A244))</f>
      </c>
      <c r="E244" s="11"/>
      <c r="F244" s="7"/>
      <c r="G244" s="15"/>
      <c r="H244" s="15">
        <f>IF($F244="","",IF($G244="USD",$F244*TC,$F244))</f>
      </c>
      <c r="I244" s="19">
        <f>IF($F244="","",IF($G244="USD",$F244,$F244/TC))</f>
      </c>
      <c r="J244" s="11"/>
      <c r="K244" s="11"/>
      <c r="L244" s="11"/>
    </row>
    <row r="245" ht="22" customHeight="1" spans="1:12" x14ac:dyDescent="0.25">
      <c r="A245" s="16"/>
      <c r="B245" s="11"/>
      <c r="C245" s="11">
        <f>IF($B245="","",IFERROR(VLOOKUP($B245,Inquilinos!$A:$B,2,0),"ID inexistente"))</f>
      </c>
      <c r="D245" s="15">
        <f>IF($A245="","",MONTH($A245))</f>
      </c>
      <c r="E245" s="11"/>
      <c r="F245" s="7"/>
      <c r="G245" s="15"/>
      <c r="H245" s="15">
        <f>IF($F245="","",IF($G245="USD",$F245*TC,$F245))</f>
      </c>
      <c r="I245" s="19">
        <f>IF($F245="","",IF($G245="USD",$F245,$F245/TC))</f>
      </c>
      <c r="J245" s="11"/>
      <c r="K245" s="11"/>
      <c r="L245" s="11"/>
    </row>
    <row r="246" ht="22" customHeight="1" spans="1:12" x14ac:dyDescent="0.25">
      <c r="A246" s="16"/>
      <c r="B246" s="11"/>
      <c r="C246" s="11">
        <f>IF($B246="","",IFERROR(VLOOKUP($B246,Inquilinos!$A:$B,2,0),"ID inexistente"))</f>
      </c>
      <c r="D246" s="15">
        <f>IF($A246="","",MONTH($A246))</f>
      </c>
      <c r="E246" s="11"/>
      <c r="F246" s="7"/>
      <c r="G246" s="15"/>
      <c r="H246" s="15">
        <f>IF($F246="","",IF($G246="USD",$F246*TC,$F246))</f>
      </c>
      <c r="I246" s="19">
        <f>IF($F246="","",IF($G246="USD",$F246,$F246/TC))</f>
      </c>
      <c r="J246" s="11"/>
      <c r="K246" s="11"/>
      <c r="L246" s="11"/>
    </row>
    <row r="247" ht="22" customHeight="1" spans="1:12" x14ac:dyDescent="0.25">
      <c r="A247" s="16"/>
      <c r="B247" s="11"/>
      <c r="C247" s="11">
        <f>IF($B247="","",IFERROR(VLOOKUP($B247,Inquilinos!$A:$B,2,0),"ID inexistente"))</f>
      </c>
      <c r="D247" s="15">
        <f>IF($A247="","",MONTH($A247))</f>
      </c>
      <c r="E247" s="11"/>
      <c r="F247" s="7"/>
      <c r="G247" s="15"/>
      <c r="H247" s="15">
        <f>IF($F247="","",IF($G247="USD",$F247*TC,$F247))</f>
      </c>
      <c r="I247" s="19">
        <f>IF($F247="","",IF($G247="USD",$F247,$F247/TC))</f>
      </c>
      <c r="J247" s="11"/>
      <c r="K247" s="11"/>
      <c r="L247" s="11"/>
    </row>
    <row r="248" ht="22" customHeight="1" spans="1:12" x14ac:dyDescent="0.25">
      <c r="A248" s="16"/>
      <c r="B248" s="11"/>
      <c r="C248" s="11">
        <f>IF($B248="","",IFERROR(VLOOKUP($B248,Inquilinos!$A:$B,2,0),"ID inexistente"))</f>
      </c>
      <c r="D248" s="15">
        <f>IF($A248="","",MONTH($A248))</f>
      </c>
      <c r="E248" s="11"/>
      <c r="F248" s="7"/>
      <c r="G248" s="15"/>
      <c r="H248" s="15">
        <f>IF($F248="","",IF($G248="USD",$F248*TC,$F248))</f>
      </c>
      <c r="I248" s="19">
        <f>IF($F248="","",IF($G248="USD",$F248,$F248/TC))</f>
      </c>
      <c r="J248" s="11"/>
      <c r="K248" s="11"/>
      <c r="L248" s="11"/>
    </row>
    <row r="249" ht="22" customHeight="1" spans="1:12" x14ac:dyDescent="0.25">
      <c r="A249" s="16"/>
      <c r="B249" s="11"/>
      <c r="C249" s="11">
        <f>IF($B249="","",IFERROR(VLOOKUP($B249,Inquilinos!$A:$B,2,0),"ID inexistente"))</f>
      </c>
      <c r="D249" s="15">
        <f>IF($A249="","",MONTH($A249))</f>
      </c>
      <c r="E249" s="11"/>
      <c r="F249" s="7"/>
      <c r="G249" s="15"/>
      <c r="H249" s="15">
        <f>IF($F249="","",IF($G249="USD",$F249*TC,$F249))</f>
      </c>
      <c r="I249" s="19">
        <f>IF($F249="","",IF($G249="USD",$F249,$F249/TC))</f>
      </c>
      <c r="J249" s="11"/>
      <c r="K249" s="11"/>
      <c r="L249" s="11"/>
    </row>
    <row r="250" ht="22" customHeight="1" spans="1:12" x14ac:dyDescent="0.25">
      <c r="A250" s="16"/>
      <c r="B250" s="11"/>
      <c r="C250" s="11">
        <f>IF($B250="","",IFERROR(VLOOKUP($B250,Inquilinos!$A:$B,2,0),"ID inexistente"))</f>
      </c>
      <c r="D250" s="15">
        <f>IF($A250="","",MONTH($A250))</f>
      </c>
      <c r="E250" s="11"/>
      <c r="F250" s="7"/>
      <c r="G250" s="15"/>
      <c r="H250" s="15">
        <f>IF($F250="","",IF($G250="USD",$F250*TC,$F250))</f>
      </c>
      <c r="I250" s="19">
        <f>IF($F250="","",IF($G250="USD",$F250,$F250/TC))</f>
      </c>
      <c r="J250" s="11"/>
      <c r="K250" s="11"/>
      <c r="L250" s="11"/>
    </row>
    <row r="251" ht="22" customHeight="1" spans="1:12" x14ac:dyDescent="0.25">
      <c r="A251" s="16"/>
      <c r="B251" s="11"/>
      <c r="C251" s="11">
        <f>IF($B251="","",IFERROR(VLOOKUP($B251,Inquilinos!$A:$B,2,0),"ID inexistente"))</f>
      </c>
      <c r="D251" s="15">
        <f>IF($A251="","",MONTH($A251))</f>
      </c>
      <c r="E251" s="11"/>
      <c r="F251" s="7"/>
      <c r="G251" s="15"/>
      <c r="H251" s="15">
        <f>IF($F251="","",IF($G251="USD",$F251*TC,$F251))</f>
      </c>
      <c r="I251" s="19">
        <f>IF($F251="","",IF($G251="USD",$F251,$F251/TC))</f>
      </c>
      <c r="J251" s="11"/>
      <c r="K251" s="11"/>
      <c r="L251" s="11"/>
    </row>
    <row r="252" ht="22" customHeight="1" spans="1:12" x14ac:dyDescent="0.25">
      <c r="A252" s="16"/>
      <c r="B252" s="11"/>
      <c r="C252" s="11">
        <f>IF($B252="","",IFERROR(VLOOKUP($B252,Inquilinos!$A:$B,2,0),"ID inexistente"))</f>
      </c>
      <c r="D252" s="15">
        <f>IF($A252="","",MONTH($A252))</f>
      </c>
      <c r="E252" s="11"/>
      <c r="F252" s="7"/>
      <c r="G252" s="15"/>
      <c r="H252" s="15">
        <f>IF($F252="","",IF($G252="USD",$F252*TC,$F252))</f>
      </c>
      <c r="I252" s="19">
        <f>IF($F252="","",IF($G252="USD",$F252,$F252/TC))</f>
      </c>
      <c r="J252" s="11"/>
      <c r="K252" s="11"/>
      <c r="L252" s="11"/>
    </row>
    <row r="253" ht="22" customHeight="1" spans="1:12" x14ac:dyDescent="0.25">
      <c r="A253" s="16"/>
      <c r="B253" s="11"/>
      <c r="C253" s="11">
        <f>IF($B253="","",IFERROR(VLOOKUP($B253,Inquilinos!$A:$B,2,0),"ID inexistente"))</f>
      </c>
      <c r="D253" s="15">
        <f>IF($A253="","",MONTH($A253))</f>
      </c>
      <c r="E253" s="11"/>
      <c r="F253" s="7"/>
      <c r="G253" s="15"/>
      <c r="H253" s="15">
        <f>IF($F253="","",IF($G253="USD",$F253*TC,$F253))</f>
      </c>
      <c r="I253" s="19">
        <f>IF($F253="","",IF($G253="USD",$F253,$F253/TC))</f>
      </c>
      <c r="J253" s="11"/>
      <c r="K253" s="11"/>
      <c r="L253" s="11"/>
    </row>
    <row r="254" ht="22" customHeight="1" spans="1:12" x14ac:dyDescent="0.25">
      <c r="A254" s="16"/>
      <c r="B254" s="11"/>
      <c r="C254" s="11">
        <f>IF($B254="","",IFERROR(VLOOKUP($B254,Inquilinos!$A:$B,2,0),"ID inexistente"))</f>
      </c>
      <c r="D254" s="15">
        <f>IF($A254="","",MONTH($A254))</f>
      </c>
      <c r="E254" s="11"/>
      <c r="F254" s="7"/>
      <c r="G254" s="15"/>
      <c r="H254" s="15">
        <f>IF($F254="","",IF($G254="USD",$F254*TC,$F254))</f>
      </c>
      <c r="I254" s="19">
        <f>IF($F254="","",IF($G254="USD",$F254,$F254/TC))</f>
      </c>
      <c r="J254" s="11"/>
      <c r="K254" s="11"/>
      <c r="L254" s="11"/>
    </row>
    <row r="255" ht="22" customHeight="1" spans="1:12" x14ac:dyDescent="0.25">
      <c r="A255" s="16"/>
      <c r="B255" s="11"/>
      <c r="C255" s="11">
        <f>IF($B255="","",IFERROR(VLOOKUP($B255,Inquilinos!$A:$B,2,0),"ID inexistente"))</f>
      </c>
      <c r="D255" s="15">
        <f>IF($A255="","",MONTH($A255))</f>
      </c>
      <c r="E255" s="11"/>
      <c r="F255" s="7"/>
      <c r="G255" s="15"/>
      <c r="H255" s="15">
        <f>IF($F255="","",IF($G255="USD",$F255*TC,$F255))</f>
      </c>
      <c r="I255" s="19">
        <f>IF($F255="","",IF($G255="USD",$F255,$F255/TC))</f>
      </c>
      <c r="J255" s="11"/>
      <c r="K255" s="11"/>
      <c r="L255" s="11"/>
    </row>
    <row r="256" ht="22" customHeight="1" spans="1:12" x14ac:dyDescent="0.25">
      <c r="A256" s="16"/>
      <c r="B256" s="11"/>
      <c r="C256" s="11">
        <f>IF($B256="","",IFERROR(VLOOKUP($B256,Inquilinos!$A:$B,2,0),"ID inexistente"))</f>
      </c>
      <c r="D256" s="15">
        <f>IF($A256="","",MONTH($A256))</f>
      </c>
      <c r="E256" s="11"/>
      <c r="F256" s="7"/>
      <c r="G256" s="15"/>
      <c r="H256" s="15">
        <f>IF($F256="","",IF($G256="USD",$F256*TC,$F256))</f>
      </c>
      <c r="I256" s="19">
        <f>IF($F256="","",IF($G256="USD",$F256,$F256/TC))</f>
      </c>
      <c r="J256" s="11"/>
      <c r="K256" s="11"/>
      <c r="L256" s="11"/>
    </row>
    <row r="257" ht="22" customHeight="1" spans="1:12" x14ac:dyDescent="0.25">
      <c r="A257" s="16"/>
      <c r="B257" s="11"/>
      <c r="C257" s="11">
        <f>IF($B257="","",IFERROR(VLOOKUP($B257,Inquilinos!$A:$B,2,0),"ID inexistente"))</f>
      </c>
      <c r="D257" s="15">
        <f>IF($A257="","",MONTH($A257))</f>
      </c>
      <c r="E257" s="11"/>
      <c r="F257" s="7"/>
      <c r="G257" s="15"/>
      <c r="H257" s="15">
        <f>IF($F257="","",IF($G257="USD",$F257*TC,$F257))</f>
      </c>
      <c r="I257" s="19">
        <f>IF($F257="","",IF($G257="USD",$F257,$F257/TC))</f>
      </c>
      <c r="J257" s="11"/>
      <c r="K257" s="11"/>
      <c r="L257" s="11"/>
    </row>
    <row r="258" ht="22" customHeight="1" spans="1:12" x14ac:dyDescent="0.25">
      <c r="A258" s="16"/>
      <c r="B258" s="11"/>
      <c r="C258" s="11">
        <f>IF($B258="","",IFERROR(VLOOKUP($B258,Inquilinos!$A:$B,2,0),"ID inexistente"))</f>
      </c>
      <c r="D258" s="15">
        <f>IF($A258="","",MONTH($A258))</f>
      </c>
      <c r="E258" s="11"/>
      <c r="F258" s="7"/>
      <c r="G258" s="15"/>
      <c r="H258" s="15">
        <f>IF($F258="","",IF($G258="USD",$F258*TC,$F258))</f>
      </c>
      <c r="I258" s="19">
        <f>IF($F258="","",IF($G258="USD",$F258,$F258/TC))</f>
      </c>
      <c r="J258" s="11"/>
      <c r="K258" s="11"/>
      <c r="L258" s="11"/>
    </row>
    <row r="259" ht="22" customHeight="1" spans="1:12" x14ac:dyDescent="0.25">
      <c r="A259" s="16"/>
      <c r="B259" s="11"/>
      <c r="C259" s="11">
        <f>IF($B259="","",IFERROR(VLOOKUP($B259,Inquilinos!$A:$B,2,0),"ID inexistente"))</f>
      </c>
      <c r="D259" s="15">
        <f>IF($A259="","",MONTH($A259))</f>
      </c>
      <c r="E259" s="11"/>
      <c r="F259" s="7"/>
      <c r="G259" s="15"/>
      <c r="H259" s="15">
        <f>IF($F259="","",IF($G259="USD",$F259*TC,$F259))</f>
      </c>
      <c r="I259" s="19">
        <f>IF($F259="","",IF($G259="USD",$F259,$F259/TC))</f>
      </c>
      <c r="J259" s="11"/>
      <c r="K259" s="11"/>
      <c r="L259" s="11"/>
    </row>
    <row r="260" ht="22" customHeight="1" spans="1:12" x14ac:dyDescent="0.25">
      <c r="A260" s="16"/>
      <c r="B260" s="11"/>
      <c r="C260" s="11">
        <f>IF($B260="","",IFERROR(VLOOKUP($B260,Inquilinos!$A:$B,2,0),"ID inexistente"))</f>
      </c>
      <c r="D260" s="15">
        <f>IF($A260="","",MONTH($A260))</f>
      </c>
      <c r="E260" s="11"/>
      <c r="F260" s="7"/>
      <c r="G260" s="15"/>
      <c r="H260" s="15">
        <f>IF($F260="","",IF($G260="USD",$F260*TC,$F260))</f>
      </c>
      <c r="I260" s="19">
        <f>IF($F260="","",IF($G260="USD",$F260,$F260/TC))</f>
      </c>
      <c r="J260" s="11"/>
      <c r="K260" s="11"/>
      <c r="L260" s="11"/>
    </row>
    <row r="261" ht="22" customHeight="1" spans="1:12" x14ac:dyDescent="0.25">
      <c r="A261" s="16"/>
      <c r="B261" s="11"/>
      <c r="C261" s="11">
        <f>IF($B261="","",IFERROR(VLOOKUP($B261,Inquilinos!$A:$B,2,0),"ID inexistente"))</f>
      </c>
      <c r="D261" s="15">
        <f>IF($A261="","",MONTH($A261))</f>
      </c>
      <c r="E261" s="11"/>
      <c r="F261" s="7"/>
      <c r="G261" s="15"/>
      <c r="H261" s="15">
        <f>IF($F261="","",IF($G261="USD",$F261*TC,$F261))</f>
      </c>
      <c r="I261" s="19">
        <f>IF($F261="","",IF($G261="USD",$F261,$F261/TC))</f>
      </c>
      <c r="J261" s="11"/>
      <c r="K261" s="11"/>
      <c r="L261" s="11"/>
    </row>
    <row r="262" ht="22" customHeight="1" spans="1:12" x14ac:dyDescent="0.25">
      <c r="A262" s="16"/>
      <c r="B262" s="11"/>
      <c r="C262" s="11">
        <f>IF($B262="","",IFERROR(VLOOKUP($B262,Inquilinos!$A:$B,2,0),"ID inexistente"))</f>
      </c>
      <c r="D262" s="15">
        <f>IF($A262="","",MONTH($A262))</f>
      </c>
      <c r="E262" s="11"/>
      <c r="F262" s="7"/>
      <c r="G262" s="15"/>
      <c r="H262" s="15">
        <f>IF($F262="","",IF($G262="USD",$F262*TC,$F262))</f>
      </c>
      <c r="I262" s="19">
        <f>IF($F262="","",IF($G262="USD",$F262,$F262/TC))</f>
      </c>
      <c r="J262" s="11"/>
      <c r="K262" s="11"/>
      <c r="L262" s="11"/>
    </row>
    <row r="263" ht="22" customHeight="1" spans="1:12" x14ac:dyDescent="0.25">
      <c r="A263" s="16"/>
      <c r="B263" s="11"/>
      <c r="C263" s="11">
        <f>IF($B263="","",IFERROR(VLOOKUP($B263,Inquilinos!$A:$B,2,0),"ID inexistente"))</f>
      </c>
      <c r="D263" s="15">
        <f>IF($A263="","",MONTH($A263))</f>
      </c>
      <c r="E263" s="11"/>
      <c r="F263" s="7"/>
      <c r="G263" s="15"/>
      <c r="H263" s="15">
        <f>IF($F263="","",IF($G263="USD",$F263*TC,$F263))</f>
      </c>
      <c r="I263" s="19">
        <f>IF($F263="","",IF($G263="USD",$F263,$F263/TC))</f>
      </c>
      <c r="J263" s="11"/>
      <c r="K263" s="11"/>
      <c r="L263" s="11"/>
    </row>
    <row r="264" ht="22" customHeight="1" spans="1:12" x14ac:dyDescent="0.25">
      <c r="A264" s="16"/>
      <c r="B264" s="11"/>
      <c r="C264" s="11">
        <f>IF($B264="","",IFERROR(VLOOKUP($B264,Inquilinos!$A:$B,2,0),"ID inexistente"))</f>
      </c>
      <c r="D264" s="15">
        <f>IF($A264="","",MONTH($A264))</f>
      </c>
      <c r="E264" s="11"/>
      <c r="F264" s="7"/>
      <c r="G264" s="15"/>
      <c r="H264" s="15">
        <f>IF($F264="","",IF($G264="USD",$F264*TC,$F264))</f>
      </c>
      <c r="I264" s="19">
        <f>IF($F264="","",IF($G264="USD",$F264,$F264/TC))</f>
      </c>
      <c r="J264" s="11"/>
      <c r="K264" s="11"/>
      <c r="L264" s="11"/>
    </row>
    <row r="265" ht="22" customHeight="1" spans="1:12" x14ac:dyDescent="0.25">
      <c r="A265" s="16"/>
      <c r="B265" s="11"/>
      <c r="C265" s="11">
        <f>IF($B265="","",IFERROR(VLOOKUP($B265,Inquilinos!$A:$B,2,0),"ID inexistente"))</f>
      </c>
      <c r="D265" s="15">
        <f>IF($A265="","",MONTH($A265))</f>
      </c>
      <c r="E265" s="11"/>
      <c r="F265" s="7"/>
      <c r="G265" s="15"/>
      <c r="H265" s="15">
        <f>IF($F265="","",IF($G265="USD",$F265*TC,$F265))</f>
      </c>
      <c r="I265" s="19">
        <f>IF($F265="","",IF($G265="USD",$F265,$F265/TC))</f>
      </c>
      <c r="J265" s="11"/>
      <c r="K265" s="11"/>
      <c r="L265" s="11"/>
    </row>
    <row r="266" ht="22" customHeight="1" spans="1:12" x14ac:dyDescent="0.25">
      <c r="A266" s="16"/>
      <c r="B266" s="11"/>
      <c r="C266" s="11">
        <f>IF($B266="","",IFERROR(VLOOKUP($B266,Inquilinos!$A:$B,2,0),"ID inexistente"))</f>
      </c>
      <c r="D266" s="15">
        <f>IF($A266="","",MONTH($A266))</f>
      </c>
      <c r="E266" s="11"/>
      <c r="F266" s="7"/>
      <c r="G266" s="15"/>
      <c r="H266" s="15">
        <f>IF($F266="","",IF($G266="USD",$F266*TC,$F266))</f>
      </c>
      <c r="I266" s="19">
        <f>IF($F266="","",IF($G266="USD",$F266,$F266/TC))</f>
      </c>
      <c r="J266" s="11"/>
      <c r="K266" s="11"/>
      <c r="L266" s="11"/>
    </row>
    <row r="267" ht="22" customHeight="1" spans="1:12" x14ac:dyDescent="0.25">
      <c r="A267" s="16"/>
      <c r="B267" s="11"/>
      <c r="C267" s="11">
        <f>IF($B267="","",IFERROR(VLOOKUP($B267,Inquilinos!$A:$B,2,0),"ID inexistente"))</f>
      </c>
      <c r="D267" s="15">
        <f>IF($A267="","",MONTH($A267))</f>
      </c>
      <c r="E267" s="11"/>
      <c r="F267" s="7"/>
      <c r="G267" s="15"/>
      <c r="H267" s="15">
        <f>IF($F267="","",IF($G267="USD",$F267*TC,$F267))</f>
      </c>
      <c r="I267" s="19">
        <f>IF($F267="","",IF($G267="USD",$F267,$F267/TC))</f>
      </c>
      <c r="J267" s="11"/>
      <c r="K267" s="11"/>
      <c r="L267" s="11"/>
    </row>
    <row r="268" ht="22" customHeight="1" spans="1:12" x14ac:dyDescent="0.25">
      <c r="A268" s="16"/>
      <c r="B268" s="11"/>
      <c r="C268" s="11">
        <f>IF($B268="","",IFERROR(VLOOKUP($B268,Inquilinos!$A:$B,2,0),"ID inexistente"))</f>
      </c>
      <c r="D268" s="15">
        <f>IF($A268="","",MONTH($A268))</f>
      </c>
      <c r="E268" s="11"/>
      <c r="F268" s="7"/>
      <c r="G268" s="15"/>
      <c r="H268" s="15">
        <f>IF($F268="","",IF($G268="USD",$F268*TC,$F268))</f>
      </c>
      <c r="I268" s="19">
        <f>IF($F268="","",IF($G268="USD",$F268,$F268/TC))</f>
      </c>
      <c r="J268" s="11"/>
      <c r="K268" s="11"/>
      <c r="L268" s="11"/>
    </row>
    <row r="269" ht="22" customHeight="1" spans="1:12" x14ac:dyDescent="0.25">
      <c r="A269" s="16"/>
      <c r="B269" s="11"/>
      <c r="C269" s="11">
        <f>IF($B269="","",IFERROR(VLOOKUP($B269,Inquilinos!$A:$B,2,0),"ID inexistente"))</f>
      </c>
      <c r="D269" s="15">
        <f>IF($A269="","",MONTH($A269))</f>
      </c>
      <c r="E269" s="11"/>
      <c r="F269" s="7"/>
      <c r="G269" s="15"/>
      <c r="H269" s="15">
        <f>IF($F269="","",IF($G269="USD",$F269*TC,$F269))</f>
      </c>
      <c r="I269" s="19">
        <f>IF($F269="","",IF($G269="USD",$F269,$F269/TC))</f>
      </c>
      <c r="J269" s="11"/>
      <c r="K269" s="11"/>
      <c r="L269" s="11"/>
    </row>
    <row r="270" ht="22" customHeight="1" spans="1:12" x14ac:dyDescent="0.25">
      <c r="A270" s="16"/>
      <c r="B270" s="11"/>
      <c r="C270" s="11">
        <f>IF($B270="","",IFERROR(VLOOKUP($B270,Inquilinos!$A:$B,2,0),"ID inexistente"))</f>
      </c>
      <c r="D270" s="15">
        <f>IF($A270="","",MONTH($A270))</f>
      </c>
      <c r="E270" s="11"/>
      <c r="F270" s="7"/>
      <c r="G270" s="15"/>
      <c r="H270" s="15">
        <f>IF($F270="","",IF($G270="USD",$F270*TC,$F270))</f>
      </c>
      <c r="I270" s="19">
        <f>IF($F270="","",IF($G270="USD",$F270,$F270/TC))</f>
      </c>
      <c r="J270" s="11"/>
      <c r="K270" s="11"/>
      <c r="L270" s="11"/>
    </row>
    <row r="271" ht="22" customHeight="1" spans="1:12" x14ac:dyDescent="0.25">
      <c r="A271" s="16"/>
      <c r="B271" s="11"/>
      <c r="C271" s="11">
        <f>IF($B271="","",IFERROR(VLOOKUP($B271,Inquilinos!$A:$B,2,0),"ID inexistente"))</f>
      </c>
      <c r="D271" s="15">
        <f>IF($A271="","",MONTH($A271))</f>
      </c>
      <c r="E271" s="11"/>
      <c r="F271" s="7"/>
      <c r="G271" s="15"/>
      <c r="H271" s="15">
        <f>IF($F271="","",IF($G271="USD",$F271*TC,$F271))</f>
      </c>
      <c r="I271" s="19">
        <f>IF($F271="","",IF($G271="USD",$F271,$F271/TC))</f>
      </c>
      <c r="J271" s="11"/>
      <c r="K271" s="11"/>
      <c r="L271" s="11"/>
    </row>
    <row r="272" ht="22" customHeight="1" spans="1:12" x14ac:dyDescent="0.25">
      <c r="A272" s="16"/>
      <c r="B272" s="11"/>
      <c r="C272" s="11">
        <f>IF($B272="","",IFERROR(VLOOKUP($B272,Inquilinos!$A:$B,2,0),"ID inexistente"))</f>
      </c>
      <c r="D272" s="15">
        <f>IF($A272="","",MONTH($A272))</f>
      </c>
      <c r="E272" s="11"/>
      <c r="F272" s="7"/>
      <c r="G272" s="15"/>
      <c r="H272" s="15">
        <f>IF($F272="","",IF($G272="USD",$F272*TC,$F272))</f>
      </c>
      <c r="I272" s="19">
        <f>IF($F272="","",IF($G272="USD",$F272,$F272/TC))</f>
      </c>
      <c r="J272" s="11"/>
      <c r="K272" s="11"/>
      <c r="L272" s="11"/>
    </row>
    <row r="273" ht="22" customHeight="1" spans="1:12" x14ac:dyDescent="0.25">
      <c r="A273" s="16"/>
      <c r="B273" s="11"/>
      <c r="C273" s="11">
        <f>IF($B273="","",IFERROR(VLOOKUP($B273,Inquilinos!$A:$B,2,0),"ID inexistente"))</f>
      </c>
      <c r="D273" s="15">
        <f>IF($A273="","",MONTH($A273))</f>
      </c>
      <c r="E273" s="11"/>
      <c r="F273" s="7"/>
      <c r="G273" s="15"/>
      <c r="H273" s="15">
        <f>IF($F273="","",IF($G273="USD",$F273*TC,$F273))</f>
      </c>
      <c r="I273" s="19">
        <f>IF($F273="","",IF($G273="USD",$F273,$F273/TC))</f>
      </c>
      <c r="J273" s="11"/>
      <c r="K273" s="11"/>
      <c r="L273" s="11"/>
    </row>
    <row r="274" ht="22" customHeight="1" spans="1:12" x14ac:dyDescent="0.25">
      <c r="A274" s="16"/>
      <c r="B274" s="11"/>
      <c r="C274" s="11">
        <f>IF($B274="","",IFERROR(VLOOKUP($B274,Inquilinos!$A:$B,2,0),"ID inexistente"))</f>
      </c>
      <c r="D274" s="15">
        <f>IF($A274="","",MONTH($A274))</f>
      </c>
      <c r="E274" s="11"/>
      <c r="F274" s="7"/>
      <c r="G274" s="15"/>
      <c r="H274" s="15">
        <f>IF($F274="","",IF($G274="USD",$F274*TC,$F274))</f>
      </c>
      <c r="I274" s="19">
        <f>IF($F274="","",IF($G274="USD",$F274,$F274/TC))</f>
      </c>
      <c r="J274" s="11"/>
      <c r="K274" s="11"/>
      <c r="L274" s="11"/>
    </row>
    <row r="275" ht="22" customHeight="1" spans="1:12" x14ac:dyDescent="0.25">
      <c r="A275" s="16"/>
      <c r="B275" s="11"/>
      <c r="C275" s="11">
        <f>IF($B275="","",IFERROR(VLOOKUP($B275,Inquilinos!$A:$B,2,0),"ID inexistente"))</f>
      </c>
      <c r="D275" s="15">
        <f>IF($A275="","",MONTH($A275))</f>
      </c>
      <c r="E275" s="11"/>
      <c r="F275" s="7"/>
      <c r="G275" s="15"/>
      <c r="H275" s="15">
        <f>IF($F275="","",IF($G275="USD",$F275*TC,$F275))</f>
      </c>
      <c r="I275" s="19">
        <f>IF($F275="","",IF($G275="USD",$F275,$F275/TC))</f>
      </c>
      <c r="J275" s="11"/>
      <c r="K275" s="11"/>
      <c r="L275" s="11"/>
    </row>
    <row r="276" ht="22" customHeight="1" spans="1:12" x14ac:dyDescent="0.25">
      <c r="A276" s="16"/>
      <c r="B276" s="11"/>
      <c r="C276" s="11">
        <f>IF($B276="","",IFERROR(VLOOKUP($B276,Inquilinos!$A:$B,2,0),"ID inexistente"))</f>
      </c>
      <c r="D276" s="15">
        <f>IF($A276="","",MONTH($A276))</f>
      </c>
      <c r="E276" s="11"/>
      <c r="F276" s="7"/>
      <c r="G276" s="15"/>
      <c r="H276" s="15">
        <f>IF($F276="","",IF($G276="USD",$F276*TC,$F276))</f>
      </c>
      <c r="I276" s="19">
        <f>IF($F276="","",IF($G276="USD",$F276,$F276/TC))</f>
      </c>
      <c r="J276" s="11"/>
      <c r="K276" s="11"/>
      <c r="L276" s="11"/>
    </row>
    <row r="277" ht="22" customHeight="1" spans="1:12" x14ac:dyDescent="0.25">
      <c r="A277" s="16"/>
      <c r="B277" s="11"/>
      <c r="C277" s="11">
        <f>IF($B277="","",IFERROR(VLOOKUP($B277,Inquilinos!$A:$B,2,0),"ID inexistente"))</f>
      </c>
      <c r="D277" s="15">
        <f>IF($A277="","",MONTH($A277))</f>
      </c>
      <c r="E277" s="11"/>
      <c r="F277" s="7"/>
      <c r="G277" s="15"/>
      <c r="H277" s="15">
        <f>IF($F277="","",IF($G277="USD",$F277*TC,$F277))</f>
      </c>
      <c r="I277" s="19">
        <f>IF($F277="","",IF($G277="USD",$F277,$F277/TC))</f>
      </c>
      <c r="J277" s="11"/>
      <c r="K277" s="11"/>
      <c r="L277" s="11"/>
    </row>
    <row r="278" ht="22" customHeight="1" spans="1:12" x14ac:dyDescent="0.25">
      <c r="A278" s="16"/>
      <c r="B278" s="11"/>
      <c r="C278" s="11">
        <f>IF($B278="","",IFERROR(VLOOKUP($B278,Inquilinos!$A:$B,2,0),"ID inexistente"))</f>
      </c>
      <c r="D278" s="15">
        <f>IF($A278="","",MONTH($A278))</f>
      </c>
      <c r="E278" s="11"/>
      <c r="F278" s="7"/>
      <c r="G278" s="15"/>
      <c r="H278" s="15">
        <f>IF($F278="","",IF($G278="USD",$F278*TC,$F278))</f>
      </c>
      <c r="I278" s="19">
        <f>IF($F278="","",IF($G278="USD",$F278,$F278/TC))</f>
      </c>
      <c r="J278" s="11"/>
      <c r="K278" s="11"/>
      <c r="L278" s="11"/>
    </row>
    <row r="279" ht="22" customHeight="1" spans="1:12" x14ac:dyDescent="0.25">
      <c r="A279" s="16"/>
      <c r="B279" s="11"/>
      <c r="C279" s="11">
        <f>IF($B279="","",IFERROR(VLOOKUP($B279,Inquilinos!$A:$B,2,0),"ID inexistente"))</f>
      </c>
      <c r="D279" s="15">
        <f>IF($A279="","",MONTH($A279))</f>
      </c>
      <c r="E279" s="11"/>
      <c r="F279" s="7"/>
      <c r="G279" s="15"/>
      <c r="H279" s="15">
        <f>IF($F279="","",IF($G279="USD",$F279*TC,$F279))</f>
      </c>
      <c r="I279" s="19">
        <f>IF($F279="","",IF($G279="USD",$F279,$F279/TC))</f>
      </c>
      <c r="J279" s="11"/>
      <c r="K279" s="11"/>
      <c r="L279" s="11"/>
    </row>
    <row r="280" ht="22" customHeight="1" spans="1:12" x14ac:dyDescent="0.25">
      <c r="A280" s="16"/>
      <c r="B280" s="11"/>
      <c r="C280" s="11">
        <f>IF($B280="","",IFERROR(VLOOKUP($B280,Inquilinos!$A:$B,2,0),"ID inexistente"))</f>
      </c>
      <c r="D280" s="15">
        <f>IF($A280="","",MONTH($A280))</f>
      </c>
      <c r="E280" s="11"/>
      <c r="F280" s="7"/>
      <c r="G280" s="15"/>
      <c r="H280" s="15">
        <f>IF($F280="","",IF($G280="USD",$F280*TC,$F280))</f>
      </c>
      <c r="I280" s="19">
        <f>IF($F280="","",IF($G280="USD",$F280,$F280/TC))</f>
      </c>
      <c r="J280" s="11"/>
      <c r="K280" s="11"/>
      <c r="L280" s="11"/>
    </row>
    <row r="281" ht="22" customHeight="1" spans="1:12" x14ac:dyDescent="0.25">
      <c r="A281" s="16"/>
      <c r="B281" s="11"/>
      <c r="C281" s="11">
        <f>IF($B281="","",IFERROR(VLOOKUP($B281,Inquilinos!$A:$B,2,0),"ID inexistente"))</f>
      </c>
      <c r="D281" s="15">
        <f>IF($A281="","",MONTH($A281))</f>
      </c>
      <c r="E281" s="11"/>
      <c r="F281" s="7"/>
      <c r="G281" s="15"/>
      <c r="H281" s="15">
        <f>IF($F281="","",IF($G281="USD",$F281*TC,$F281))</f>
      </c>
      <c r="I281" s="19">
        <f>IF($F281="","",IF($G281="USD",$F281,$F281/TC))</f>
      </c>
      <c r="J281" s="11"/>
      <c r="K281" s="11"/>
      <c r="L281" s="11"/>
    </row>
    <row r="282" ht="22" customHeight="1" spans="1:12" x14ac:dyDescent="0.25">
      <c r="A282" s="16"/>
      <c r="B282" s="11"/>
      <c r="C282" s="11">
        <f>IF($B282="","",IFERROR(VLOOKUP($B282,Inquilinos!$A:$B,2,0),"ID inexistente"))</f>
      </c>
      <c r="D282" s="15">
        <f>IF($A282="","",MONTH($A282))</f>
      </c>
      <c r="E282" s="11"/>
      <c r="F282" s="7"/>
      <c r="G282" s="15"/>
      <c r="H282" s="15">
        <f>IF($F282="","",IF($G282="USD",$F282*TC,$F282))</f>
      </c>
      <c r="I282" s="19">
        <f>IF($F282="","",IF($G282="USD",$F282,$F282/TC))</f>
      </c>
      <c r="J282" s="11"/>
      <c r="K282" s="11"/>
      <c r="L282" s="11"/>
    </row>
    <row r="283" ht="22" customHeight="1" spans="1:12" x14ac:dyDescent="0.25">
      <c r="A283" s="16"/>
      <c r="B283" s="11"/>
      <c r="C283" s="11">
        <f>IF($B283="","",IFERROR(VLOOKUP($B283,Inquilinos!$A:$B,2,0),"ID inexistente"))</f>
      </c>
      <c r="D283" s="15">
        <f>IF($A283="","",MONTH($A283))</f>
      </c>
      <c r="E283" s="11"/>
      <c r="F283" s="7"/>
      <c r="G283" s="15"/>
      <c r="H283" s="15">
        <f>IF($F283="","",IF($G283="USD",$F283*TC,$F283))</f>
      </c>
      <c r="I283" s="19">
        <f>IF($F283="","",IF($G283="USD",$F283,$F283/TC))</f>
      </c>
      <c r="J283" s="11"/>
      <c r="K283" s="11"/>
      <c r="L283" s="11"/>
    </row>
    <row r="284" ht="22" customHeight="1" spans="1:12" x14ac:dyDescent="0.25">
      <c r="A284" s="16"/>
      <c r="B284" s="11"/>
      <c r="C284" s="11">
        <f>IF($B284="","",IFERROR(VLOOKUP($B284,Inquilinos!$A:$B,2,0),"ID inexistente"))</f>
      </c>
      <c r="D284" s="15">
        <f>IF($A284="","",MONTH($A284))</f>
      </c>
      <c r="E284" s="11"/>
      <c r="F284" s="7"/>
      <c r="G284" s="15"/>
      <c r="H284" s="15">
        <f>IF($F284="","",IF($G284="USD",$F284*TC,$F284))</f>
      </c>
      <c r="I284" s="19">
        <f>IF($F284="","",IF($G284="USD",$F284,$F284/TC))</f>
      </c>
      <c r="J284" s="11"/>
      <c r="K284" s="11"/>
      <c r="L284" s="11"/>
    </row>
    <row r="285" ht="22" customHeight="1" spans="1:12" x14ac:dyDescent="0.25">
      <c r="A285" s="16"/>
      <c r="B285" s="11"/>
      <c r="C285" s="11">
        <f>IF($B285="","",IFERROR(VLOOKUP($B285,Inquilinos!$A:$B,2,0),"ID inexistente"))</f>
      </c>
      <c r="D285" s="15">
        <f>IF($A285="","",MONTH($A285))</f>
      </c>
      <c r="E285" s="11"/>
      <c r="F285" s="7"/>
      <c r="G285" s="15"/>
      <c r="H285" s="15">
        <f>IF($F285="","",IF($G285="USD",$F285*TC,$F285))</f>
      </c>
      <c r="I285" s="19">
        <f>IF($F285="","",IF($G285="USD",$F285,$F285/TC))</f>
      </c>
      <c r="J285" s="11"/>
      <c r="K285" s="11"/>
      <c r="L285" s="11"/>
    </row>
    <row r="286" ht="22" customHeight="1" spans="1:12" x14ac:dyDescent="0.25">
      <c r="A286" s="16"/>
      <c r="B286" s="11"/>
      <c r="C286" s="11">
        <f>IF($B286="","",IFERROR(VLOOKUP($B286,Inquilinos!$A:$B,2,0),"ID inexistente"))</f>
      </c>
      <c r="D286" s="15">
        <f>IF($A286="","",MONTH($A286))</f>
      </c>
      <c r="E286" s="11"/>
      <c r="F286" s="7"/>
      <c r="G286" s="15"/>
      <c r="H286" s="15">
        <f>IF($F286="","",IF($G286="USD",$F286*TC,$F286))</f>
      </c>
      <c r="I286" s="19">
        <f>IF($F286="","",IF($G286="USD",$F286,$F286/TC))</f>
      </c>
      <c r="J286" s="11"/>
      <c r="K286" s="11"/>
      <c r="L286" s="11"/>
    </row>
    <row r="287" ht="22" customHeight="1" spans="1:12" x14ac:dyDescent="0.25">
      <c r="A287" s="16"/>
      <c r="B287" s="11"/>
      <c r="C287" s="11">
        <f>IF($B287="","",IFERROR(VLOOKUP($B287,Inquilinos!$A:$B,2,0),"ID inexistente"))</f>
      </c>
      <c r="D287" s="15">
        <f>IF($A287="","",MONTH($A287))</f>
      </c>
      <c r="E287" s="11"/>
      <c r="F287" s="7"/>
      <c r="G287" s="15"/>
      <c r="H287" s="15">
        <f>IF($F287="","",IF($G287="USD",$F287*TC,$F287))</f>
      </c>
      <c r="I287" s="19">
        <f>IF($F287="","",IF($G287="USD",$F287,$F287/TC))</f>
      </c>
      <c r="J287" s="11"/>
      <c r="K287" s="11"/>
      <c r="L287" s="11"/>
    </row>
    <row r="288" ht="22" customHeight="1" spans="1:12" x14ac:dyDescent="0.25">
      <c r="A288" s="16"/>
      <c r="B288" s="11"/>
      <c r="C288" s="11">
        <f>IF($B288="","",IFERROR(VLOOKUP($B288,Inquilinos!$A:$B,2,0),"ID inexistente"))</f>
      </c>
      <c r="D288" s="15">
        <f>IF($A288="","",MONTH($A288))</f>
      </c>
      <c r="E288" s="11"/>
      <c r="F288" s="7"/>
      <c r="G288" s="15"/>
      <c r="H288" s="15">
        <f>IF($F288="","",IF($G288="USD",$F288*TC,$F288))</f>
      </c>
      <c r="I288" s="19">
        <f>IF($F288="","",IF($G288="USD",$F288,$F288/TC))</f>
      </c>
      <c r="J288" s="11"/>
      <c r="K288" s="11"/>
      <c r="L288" s="11"/>
    </row>
    <row r="289" ht="22" customHeight="1" spans="1:12" x14ac:dyDescent="0.25">
      <c r="A289" s="16"/>
      <c r="B289" s="11"/>
      <c r="C289" s="11">
        <f>IF($B289="","",IFERROR(VLOOKUP($B289,Inquilinos!$A:$B,2,0),"ID inexistente"))</f>
      </c>
      <c r="D289" s="15">
        <f>IF($A289="","",MONTH($A289))</f>
      </c>
      <c r="E289" s="11"/>
      <c r="F289" s="7"/>
      <c r="G289" s="15"/>
      <c r="H289" s="15">
        <f>IF($F289="","",IF($G289="USD",$F289*TC,$F289))</f>
      </c>
      <c r="I289" s="19">
        <f>IF($F289="","",IF($G289="USD",$F289,$F289/TC))</f>
      </c>
      <c r="J289" s="11"/>
      <c r="K289" s="11"/>
      <c r="L289" s="11"/>
    </row>
    <row r="290" ht="22" customHeight="1" spans="1:12" x14ac:dyDescent="0.25">
      <c r="A290" s="16"/>
      <c r="B290" s="11"/>
      <c r="C290" s="11">
        <f>IF($B290="","",IFERROR(VLOOKUP($B290,Inquilinos!$A:$B,2,0),"ID inexistente"))</f>
      </c>
      <c r="D290" s="15">
        <f>IF($A290="","",MONTH($A290))</f>
      </c>
      <c r="E290" s="11"/>
      <c r="F290" s="7"/>
      <c r="G290" s="15"/>
      <c r="H290" s="15">
        <f>IF($F290="","",IF($G290="USD",$F290*TC,$F290))</f>
      </c>
      <c r="I290" s="19">
        <f>IF($F290="","",IF($G290="USD",$F290,$F290/TC))</f>
      </c>
      <c r="J290" s="11"/>
      <c r="K290" s="11"/>
      <c r="L290" s="11"/>
    </row>
    <row r="291" ht="22" customHeight="1" spans="1:12" x14ac:dyDescent="0.25">
      <c r="A291" s="16"/>
      <c r="B291" s="11"/>
      <c r="C291" s="11">
        <f>IF($B291="","",IFERROR(VLOOKUP($B291,Inquilinos!$A:$B,2,0),"ID inexistente"))</f>
      </c>
      <c r="D291" s="15">
        <f>IF($A291="","",MONTH($A291))</f>
      </c>
      <c r="E291" s="11"/>
      <c r="F291" s="7"/>
      <c r="G291" s="15"/>
      <c r="H291" s="15">
        <f>IF($F291="","",IF($G291="USD",$F291*TC,$F291))</f>
      </c>
      <c r="I291" s="19">
        <f>IF($F291="","",IF($G291="USD",$F291,$F291/TC))</f>
      </c>
      <c r="J291" s="11"/>
      <c r="K291" s="11"/>
      <c r="L291" s="11"/>
    </row>
    <row r="292" ht="22" customHeight="1" spans="1:12" x14ac:dyDescent="0.25">
      <c r="A292" s="16"/>
      <c r="B292" s="11"/>
      <c r="C292" s="11">
        <f>IF($B292="","",IFERROR(VLOOKUP($B292,Inquilinos!$A:$B,2,0),"ID inexistente"))</f>
      </c>
      <c r="D292" s="15">
        <f>IF($A292="","",MONTH($A292))</f>
      </c>
      <c r="E292" s="11"/>
      <c r="F292" s="7"/>
      <c r="G292" s="15"/>
      <c r="H292" s="15">
        <f>IF($F292="","",IF($G292="USD",$F292*TC,$F292))</f>
      </c>
      <c r="I292" s="19">
        <f>IF($F292="","",IF($G292="USD",$F292,$F292/TC))</f>
      </c>
      <c r="J292" s="11"/>
      <c r="K292" s="11"/>
      <c r="L292" s="11"/>
    </row>
    <row r="293" ht="22" customHeight="1" spans="1:12" x14ac:dyDescent="0.25">
      <c r="A293" s="16"/>
      <c r="B293" s="11"/>
      <c r="C293" s="11">
        <f>IF($B293="","",IFERROR(VLOOKUP($B293,Inquilinos!$A:$B,2,0),"ID inexistente"))</f>
      </c>
      <c r="D293" s="15">
        <f>IF($A293="","",MONTH($A293))</f>
      </c>
      <c r="E293" s="11"/>
      <c r="F293" s="7"/>
      <c r="G293" s="15"/>
      <c r="H293" s="15">
        <f>IF($F293="","",IF($G293="USD",$F293*TC,$F293))</f>
      </c>
      <c r="I293" s="19">
        <f>IF($F293="","",IF($G293="USD",$F293,$F293/TC))</f>
      </c>
      <c r="J293" s="11"/>
      <c r="K293" s="11"/>
      <c r="L293" s="11"/>
    </row>
    <row r="294" ht="22" customHeight="1" spans="1:12" x14ac:dyDescent="0.25">
      <c r="A294" s="16"/>
      <c r="B294" s="11"/>
      <c r="C294" s="11">
        <f>IF($B294="","",IFERROR(VLOOKUP($B294,Inquilinos!$A:$B,2,0),"ID inexistente"))</f>
      </c>
      <c r="D294" s="15">
        <f>IF($A294="","",MONTH($A294))</f>
      </c>
      <c r="E294" s="11"/>
      <c r="F294" s="7"/>
      <c r="G294" s="15"/>
      <c r="H294" s="15">
        <f>IF($F294="","",IF($G294="USD",$F294*TC,$F294))</f>
      </c>
      <c r="I294" s="19">
        <f>IF($F294="","",IF($G294="USD",$F294,$F294/TC))</f>
      </c>
      <c r="J294" s="11"/>
      <c r="K294" s="11"/>
      <c r="L294" s="11"/>
    </row>
    <row r="295" ht="22" customHeight="1" spans="1:12" x14ac:dyDescent="0.25">
      <c r="A295" s="16"/>
      <c r="B295" s="11"/>
      <c r="C295" s="11">
        <f>IF($B295="","",IFERROR(VLOOKUP($B295,Inquilinos!$A:$B,2,0),"ID inexistente"))</f>
      </c>
      <c r="D295" s="15">
        <f>IF($A295="","",MONTH($A295))</f>
      </c>
      <c r="E295" s="11"/>
      <c r="F295" s="7"/>
      <c r="G295" s="15"/>
      <c r="H295" s="15">
        <f>IF($F295="","",IF($G295="USD",$F295*TC,$F295))</f>
      </c>
      <c r="I295" s="19">
        <f>IF($F295="","",IF($G295="USD",$F295,$F295/TC))</f>
      </c>
      <c r="J295" s="11"/>
      <c r="K295" s="11"/>
      <c r="L295" s="11"/>
    </row>
    <row r="296" ht="22" customHeight="1" spans="1:12" x14ac:dyDescent="0.25">
      <c r="A296" s="16"/>
      <c r="B296" s="11"/>
      <c r="C296" s="11">
        <f>IF($B296="","",IFERROR(VLOOKUP($B296,Inquilinos!$A:$B,2,0),"ID inexistente"))</f>
      </c>
      <c r="D296" s="15">
        <f>IF($A296="","",MONTH($A296))</f>
      </c>
      <c r="E296" s="11"/>
      <c r="F296" s="7"/>
      <c r="G296" s="15"/>
      <c r="H296" s="15">
        <f>IF($F296="","",IF($G296="USD",$F296*TC,$F296))</f>
      </c>
      <c r="I296" s="19">
        <f>IF($F296="","",IF($G296="USD",$F296,$F296/TC))</f>
      </c>
      <c r="J296" s="11"/>
      <c r="K296" s="11"/>
      <c r="L296" s="11"/>
    </row>
    <row r="297" ht="22" customHeight="1" spans="1:12" x14ac:dyDescent="0.25">
      <c r="A297" s="16"/>
      <c r="B297" s="11"/>
      <c r="C297" s="11">
        <f>IF($B297="","",IFERROR(VLOOKUP($B297,Inquilinos!$A:$B,2,0),"ID inexistente"))</f>
      </c>
      <c r="D297" s="15">
        <f>IF($A297="","",MONTH($A297))</f>
      </c>
      <c r="E297" s="11"/>
      <c r="F297" s="7"/>
      <c r="G297" s="15"/>
      <c r="H297" s="15">
        <f>IF($F297="","",IF($G297="USD",$F297*TC,$F297))</f>
      </c>
      <c r="I297" s="19">
        <f>IF($F297="","",IF($G297="USD",$F297,$F297/TC))</f>
      </c>
      <c r="J297" s="11"/>
      <c r="K297" s="11"/>
      <c r="L297" s="11"/>
    </row>
    <row r="298" ht="22" customHeight="1" spans="1:12" x14ac:dyDescent="0.25">
      <c r="A298" s="16"/>
      <c r="B298" s="11"/>
      <c r="C298" s="11">
        <f>IF($B298="","",IFERROR(VLOOKUP($B298,Inquilinos!$A:$B,2,0),"ID inexistente"))</f>
      </c>
      <c r="D298" s="15">
        <f>IF($A298="","",MONTH($A298))</f>
      </c>
      <c r="E298" s="11"/>
      <c r="F298" s="7"/>
      <c r="G298" s="15"/>
      <c r="H298" s="15">
        <f>IF($F298="","",IF($G298="USD",$F298*TC,$F298))</f>
      </c>
      <c r="I298" s="19">
        <f>IF($F298="","",IF($G298="USD",$F298,$F298/TC))</f>
      </c>
      <c r="J298" s="11"/>
      <c r="K298" s="11"/>
      <c r="L298" s="11"/>
    </row>
    <row r="299" ht="22" customHeight="1" spans="1:12" x14ac:dyDescent="0.25">
      <c r="A299" s="16"/>
      <c r="B299" s="11"/>
      <c r="C299" s="11">
        <f>IF($B299="","",IFERROR(VLOOKUP($B299,Inquilinos!$A:$B,2,0),"ID inexistente"))</f>
      </c>
      <c r="D299" s="15">
        <f>IF($A299="","",MONTH($A299))</f>
      </c>
      <c r="E299" s="11"/>
      <c r="F299" s="7"/>
      <c r="G299" s="15"/>
      <c r="H299" s="15">
        <f>IF($F299="","",IF($G299="USD",$F299*TC,$F299))</f>
      </c>
      <c r="I299" s="19">
        <f>IF($F299="","",IF($G299="USD",$F299,$F299/TC))</f>
      </c>
      <c r="J299" s="11"/>
      <c r="K299" s="11"/>
      <c r="L299" s="11"/>
    </row>
    <row r="300" ht="22" customHeight="1" spans="1:12" x14ac:dyDescent="0.25">
      <c r="A300" s="16"/>
      <c r="B300" s="11"/>
      <c r="C300" s="11">
        <f>IF($B300="","",IFERROR(VLOOKUP($B300,Inquilinos!$A:$B,2,0),"ID inexistente"))</f>
      </c>
      <c r="D300" s="15">
        <f>IF($A300="","",MONTH($A300))</f>
      </c>
      <c r="E300" s="11"/>
      <c r="F300" s="7"/>
      <c r="G300" s="15"/>
      <c r="H300" s="15">
        <f>IF($F300="","",IF($G300="USD",$F300*TC,$F300))</f>
      </c>
      <c r="I300" s="19">
        <f>IF($F300="","",IF($G300="USD",$F300,$F300/TC))</f>
      </c>
      <c r="J300" s="11"/>
      <c r="K300" s="11"/>
      <c r="L300" s="11"/>
    </row>
    <row r="301" ht="22" customHeight="1" spans="1:12" x14ac:dyDescent="0.25">
      <c r="A301" s="16"/>
      <c r="B301" s="11"/>
      <c r="C301" s="11">
        <f>IF($B301="","",IFERROR(VLOOKUP($B301,Inquilinos!$A:$B,2,0),"ID inexistente"))</f>
      </c>
      <c r="D301" s="15">
        <f>IF($A301="","",MONTH($A301))</f>
      </c>
      <c r="E301" s="11"/>
      <c r="F301" s="7"/>
      <c r="G301" s="15"/>
      <c r="H301" s="15">
        <f>IF($F301="","",IF($G301="USD",$F301*TC,$F301))</f>
      </c>
      <c r="I301" s="19">
        <f>IF($F301="","",IF($G301="USD",$F301,$F301/TC))</f>
      </c>
      <c r="J301" s="11"/>
      <c r="K301" s="11"/>
      <c r="L301" s="11"/>
    </row>
    <row r="302" ht="22" customHeight="1" spans="1:12" x14ac:dyDescent="0.25">
      <c r="A302" s="16"/>
      <c r="B302" s="11"/>
      <c r="C302" s="11">
        <f>IF($B302="","",IFERROR(VLOOKUP($B302,Inquilinos!$A:$B,2,0),"ID inexistente"))</f>
      </c>
      <c r="D302" s="15">
        <f>IF($A302="","",MONTH($A302))</f>
      </c>
      <c r="E302" s="11"/>
      <c r="F302" s="7"/>
      <c r="G302" s="15"/>
      <c r="H302" s="15">
        <f>IF($F302="","",IF($G302="USD",$F302*TC,$F302))</f>
      </c>
      <c r="I302" s="19">
        <f>IF($F302="","",IF($G302="USD",$F302,$F302/TC))</f>
      </c>
      <c r="J302" s="11"/>
      <c r="K302" s="11"/>
      <c r="L302" s="11"/>
    </row>
    <row r="303" ht="22" customHeight="1" spans="1:12" x14ac:dyDescent="0.25">
      <c r="A303" s="16"/>
      <c r="B303" s="11"/>
      <c r="C303" s="11">
        <f>IF($B303="","",IFERROR(VLOOKUP($B303,Inquilinos!$A:$B,2,0),"ID inexistente"))</f>
      </c>
      <c r="D303" s="15">
        <f>IF($A303="","",MONTH($A303))</f>
      </c>
      <c r="E303" s="11"/>
      <c r="F303" s="7"/>
      <c r="G303" s="15"/>
      <c r="H303" s="15">
        <f>IF($F303="","",IF($G303="USD",$F303*TC,$F303))</f>
      </c>
      <c r="I303" s="19">
        <f>IF($F303="","",IF($G303="USD",$F303,$F303/TC))</f>
      </c>
      <c r="J303" s="11"/>
      <c r="K303" s="11"/>
      <c r="L303" s="11"/>
    </row>
    <row r="304" ht="22" customHeight="1" spans="1:12" x14ac:dyDescent="0.25">
      <c r="A304" s="16"/>
      <c r="B304" s="11"/>
      <c r="C304" s="11">
        <f>IF($B304="","",IFERROR(VLOOKUP($B304,Inquilinos!$A:$B,2,0),"ID inexistente"))</f>
      </c>
      <c r="D304" s="15">
        <f>IF($A304="","",MONTH($A304))</f>
      </c>
      <c r="E304" s="11"/>
      <c r="F304" s="7"/>
      <c r="G304" s="15"/>
      <c r="H304" s="15">
        <f>IF($F304="","",IF($G304="USD",$F304*TC,$F304))</f>
      </c>
      <c r="I304" s="19">
        <f>IF($F304="","",IF($G304="USD",$F304,$F304/TC))</f>
      </c>
      <c r="J304" s="11"/>
      <c r="K304" s="11"/>
      <c r="L304" s="11"/>
    </row>
    <row r="305" ht="22" customHeight="1" spans="1:12" x14ac:dyDescent="0.25">
      <c r="A305" s="16"/>
      <c r="B305" s="11"/>
      <c r="C305" s="11">
        <f>IF($B305="","",IFERROR(VLOOKUP($B305,Inquilinos!$A:$B,2,0),"ID inexistente"))</f>
      </c>
      <c r="D305" s="15">
        <f>IF($A305="","",MONTH($A305))</f>
      </c>
      <c r="E305" s="11"/>
      <c r="F305" s="7"/>
      <c r="G305" s="15"/>
      <c r="H305" s="15">
        <f>IF($F305="","",IF($G305="USD",$F305*TC,$F305))</f>
      </c>
      <c r="I305" s="19">
        <f>IF($F305="","",IF($G305="USD",$F305,$F305/TC))</f>
      </c>
      <c r="J305" s="11"/>
      <c r="K305" s="11"/>
      <c r="L305" s="11"/>
    </row>
    <row r="306" ht="22" customHeight="1" spans="1:12" x14ac:dyDescent="0.25">
      <c r="A306" s="16"/>
      <c r="B306" s="11"/>
      <c r="C306" s="11">
        <f>IF($B306="","",IFERROR(VLOOKUP($B306,Inquilinos!$A:$B,2,0),"ID inexistente"))</f>
      </c>
      <c r="D306" s="15">
        <f>IF($A306="","",MONTH($A306))</f>
      </c>
      <c r="E306" s="11"/>
      <c r="F306" s="7"/>
      <c r="G306" s="15"/>
      <c r="H306" s="15">
        <f>IF($F306="","",IF($G306="USD",$F306*TC,$F306))</f>
      </c>
      <c r="I306" s="19">
        <f>IF($F306="","",IF($G306="USD",$F306,$F306/TC))</f>
      </c>
      <c r="J306" s="11"/>
      <c r="K306" s="11"/>
      <c r="L306" s="11"/>
    </row>
    <row r="307" ht="22" customHeight="1" spans="1:12" x14ac:dyDescent="0.25">
      <c r="A307" s="16"/>
      <c r="B307" s="11"/>
      <c r="C307" s="11">
        <f>IF($B307="","",IFERROR(VLOOKUP($B307,Inquilinos!$A:$B,2,0),"ID inexistente"))</f>
      </c>
      <c r="D307" s="15">
        <f>IF($A307="","",MONTH($A307))</f>
      </c>
      <c r="E307" s="11"/>
      <c r="F307" s="7"/>
      <c r="G307" s="15"/>
      <c r="H307" s="15">
        <f>IF($F307="","",IF($G307="USD",$F307*TC,$F307))</f>
      </c>
      <c r="I307" s="19">
        <f>IF($F307="","",IF($G307="USD",$F307,$F307/TC))</f>
      </c>
      <c r="J307" s="11"/>
      <c r="K307" s="11"/>
      <c r="L307" s="11"/>
    </row>
    <row r="308" ht="22" customHeight="1" spans="1:12" x14ac:dyDescent="0.25">
      <c r="A308" s="16"/>
      <c r="B308" s="11"/>
      <c r="C308" s="11">
        <f>IF($B308="","",IFERROR(VLOOKUP($B308,Inquilinos!$A:$B,2,0),"ID inexistente"))</f>
      </c>
      <c r="D308" s="15">
        <f>IF($A308="","",MONTH($A308))</f>
      </c>
      <c r="E308" s="11"/>
      <c r="F308" s="7"/>
      <c r="G308" s="15"/>
      <c r="H308" s="15">
        <f>IF($F308="","",IF($G308="USD",$F308*TC,$F308))</f>
      </c>
      <c r="I308" s="19">
        <f>IF($F308="","",IF($G308="USD",$F308,$F308/TC))</f>
      </c>
      <c r="J308" s="11"/>
      <c r="K308" s="11"/>
      <c r="L308" s="11"/>
    </row>
    <row r="309" ht="22" customHeight="1" spans="1:12" x14ac:dyDescent="0.25">
      <c r="A309" s="16"/>
      <c r="B309" s="11"/>
      <c r="C309" s="11">
        <f>IF($B309="","",IFERROR(VLOOKUP($B309,Inquilinos!$A:$B,2,0),"ID inexistente"))</f>
      </c>
      <c r="D309" s="15">
        <f>IF($A309="","",MONTH($A309))</f>
      </c>
      <c r="E309" s="11"/>
      <c r="F309" s="7"/>
      <c r="G309" s="15"/>
      <c r="H309" s="15">
        <f>IF($F309="","",IF($G309="USD",$F309*TC,$F309))</f>
      </c>
      <c r="I309" s="19">
        <f>IF($F309="","",IF($G309="USD",$F309,$F309/TC))</f>
      </c>
      <c r="J309" s="11"/>
      <c r="K309" s="11"/>
      <c r="L309" s="11"/>
    </row>
    <row r="310" ht="22" customHeight="1" spans="1:12" x14ac:dyDescent="0.25">
      <c r="A310" s="16"/>
      <c r="B310" s="11"/>
      <c r="C310" s="11">
        <f>IF($B310="","",IFERROR(VLOOKUP($B310,Inquilinos!$A:$B,2,0),"ID inexistente"))</f>
      </c>
      <c r="D310" s="15">
        <f>IF($A310="","",MONTH($A310))</f>
      </c>
      <c r="E310" s="11"/>
      <c r="F310" s="7"/>
      <c r="G310" s="15"/>
      <c r="H310" s="15">
        <f>IF($F310="","",IF($G310="USD",$F310*TC,$F310))</f>
      </c>
      <c r="I310" s="19">
        <f>IF($F310="","",IF($G310="USD",$F310,$F310/TC))</f>
      </c>
      <c r="J310" s="11"/>
      <c r="K310" s="11"/>
      <c r="L310" s="11"/>
    </row>
    <row r="311" ht="22" customHeight="1" spans="1:12" x14ac:dyDescent="0.25">
      <c r="A311" s="16"/>
      <c r="B311" s="11"/>
      <c r="C311" s="11">
        <f>IF($B311="","",IFERROR(VLOOKUP($B311,Inquilinos!$A:$B,2,0),"ID inexistente"))</f>
      </c>
      <c r="D311" s="15">
        <f>IF($A311="","",MONTH($A311))</f>
      </c>
      <c r="E311" s="11"/>
      <c r="F311" s="7"/>
      <c r="G311" s="15"/>
      <c r="H311" s="15">
        <f>IF($F311="","",IF($G311="USD",$F311*TC,$F311))</f>
      </c>
      <c r="I311" s="19">
        <f>IF($F311="","",IF($G311="USD",$F311,$F311/TC))</f>
      </c>
      <c r="J311" s="11"/>
      <c r="K311" s="11"/>
      <c r="L311" s="11"/>
    </row>
    <row r="312" ht="22" customHeight="1" spans="1:12" x14ac:dyDescent="0.25">
      <c r="A312" s="16"/>
      <c r="B312" s="11"/>
      <c r="C312" s="11">
        <f>IF($B312="","",IFERROR(VLOOKUP($B312,Inquilinos!$A:$B,2,0),"ID inexistente"))</f>
      </c>
      <c r="D312" s="15">
        <f>IF($A312="","",MONTH($A312))</f>
      </c>
      <c r="E312" s="11"/>
      <c r="F312" s="7"/>
      <c r="G312" s="15"/>
      <c r="H312" s="15">
        <f>IF($F312="","",IF($G312="USD",$F312*TC,$F312))</f>
      </c>
      <c r="I312" s="19">
        <f>IF($F312="","",IF($G312="USD",$F312,$F312/TC))</f>
      </c>
      <c r="J312" s="11"/>
      <c r="K312" s="11"/>
      <c r="L312" s="11"/>
    </row>
    <row r="313" ht="22" customHeight="1" spans="1:12" x14ac:dyDescent="0.25">
      <c r="A313" s="16"/>
      <c r="B313" s="11"/>
      <c r="C313" s="11">
        <f>IF($B313="","",IFERROR(VLOOKUP($B313,Inquilinos!$A:$B,2,0),"ID inexistente"))</f>
      </c>
      <c r="D313" s="15">
        <f>IF($A313="","",MONTH($A313))</f>
      </c>
      <c r="E313" s="11"/>
      <c r="F313" s="7"/>
      <c r="G313" s="15"/>
      <c r="H313" s="15">
        <f>IF($F313="","",IF($G313="USD",$F313*TC,$F313))</f>
      </c>
      <c r="I313" s="19">
        <f>IF($F313="","",IF($G313="USD",$F313,$F313/TC))</f>
      </c>
      <c r="J313" s="11"/>
      <c r="K313" s="11"/>
      <c r="L313" s="11"/>
    </row>
    <row r="314" ht="22" customHeight="1" spans="1:12" x14ac:dyDescent="0.25">
      <c r="A314" s="16"/>
      <c r="B314" s="11"/>
      <c r="C314" s="11">
        <f>IF($B314="","",IFERROR(VLOOKUP($B314,Inquilinos!$A:$B,2,0),"ID inexistente"))</f>
      </c>
      <c r="D314" s="15">
        <f>IF($A314="","",MONTH($A314))</f>
      </c>
      <c r="E314" s="11"/>
      <c r="F314" s="7"/>
      <c r="G314" s="15"/>
      <c r="H314" s="15">
        <f>IF($F314="","",IF($G314="USD",$F314*TC,$F314))</f>
      </c>
      <c r="I314" s="19">
        <f>IF($F314="","",IF($G314="USD",$F314,$F314/TC))</f>
      </c>
      <c r="J314" s="11"/>
      <c r="K314" s="11"/>
      <c r="L314" s="11"/>
    </row>
    <row r="315" ht="22" customHeight="1" spans="1:12" x14ac:dyDescent="0.25">
      <c r="A315" s="16"/>
      <c r="B315" s="11"/>
      <c r="C315" s="11">
        <f>IF($B315="","",IFERROR(VLOOKUP($B315,Inquilinos!$A:$B,2,0),"ID inexistente"))</f>
      </c>
      <c r="D315" s="15">
        <f>IF($A315="","",MONTH($A315))</f>
      </c>
      <c r="E315" s="11"/>
      <c r="F315" s="7"/>
      <c r="G315" s="15"/>
      <c r="H315" s="15">
        <f>IF($F315="","",IF($G315="USD",$F315*TC,$F315))</f>
      </c>
      <c r="I315" s="19">
        <f>IF($F315="","",IF($G315="USD",$F315,$F315/TC))</f>
      </c>
      <c r="J315" s="11"/>
      <c r="K315" s="11"/>
      <c r="L315" s="11"/>
    </row>
    <row r="316" ht="22" customHeight="1" spans="1:12" x14ac:dyDescent="0.25">
      <c r="A316" s="16"/>
      <c r="B316" s="11"/>
      <c r="C316" s="11">
        <f>IF($B316="","",IFERROR(VLOOKUP($B316,Inquilinos!$A:$B,2,0),"ID inexistente"))</f>
      </c>
      <c r="D316" s="15">
        <f>IF($A316="","",MONTH($A316))</f>
      </c>
      <c r="E316" s="11"/>
      <c r="F316" s="7"/>
      <c r="G316" s="15"/>
      <c r="H316" s="15">
        <f>IF($F316="","",IF($G316="USD",$F316*TC,$F316))</f>
      </c>
      <c r="I316" s="19">
        <f>IF($F316="","",IF($G316="USD",$F316,$F316/TC))</f>
      </c>
      <c r="J316" s="11"/>
      <c r="K316" s="11"/>
      <c r="L316" s="11"/>
    </row>
    <row r="317" ht="22" customHeight="1" spans="1:12" x14ac:dyDescent="0.25">
      <c r="A317" s="16"/>
      <c r="B317" s="11"/>
      <c r="C317" s="11">
        <f>IF($B317="","",IFERROR(VLOOKUP($B317,Inquilinos!$A:$B,2,0),"ID inexistente"))</f>
      </c>
      <c r="D317" s="15">
        <f>IF($A317="","",MONTH($A317))</f>
      </c>
      <c r="E317" s="11"/>
      <c r="F317" s="7"/>
      <c r="G317" s="15"/>
      <c r="H317" s="15">
        <f>IF($F317="","",IF($G317="USD",$F317*TC,$F317))</f>
      </c>
      <c r="I317" s="19">
        <f>IF($F317="","",IF($G317="USD",$F317,$F317/TC))</f>
      </c>
      <c r="J317" s="11"/>
      <c r="K317" s="11"/>
      <c r="L317" s="11"/>
    </row>
    <row r="318" ht="22" customHeight="1" spans="1:12" x14ac:dyDescent="0.25">
      <c r="A318" s="16"/>
      <c r="B318" s="11"/>
      <c r="C318" s="11">
        <f>IF($B318="","",IFERROR(VLOOKUP($B318,Inquilinos!$A:$B,2,0),"ID inexistente"))</f>
      </c>
      <c r="D318" s="15">
        <f>IF($A318="","",MONTH($A318))</f>
      </c>
      <c r="E318" s="11"/>
      <c r="F318" s="7"/>
      <c r="G318" s="15"/>
      <c r="H318" s="15">
        <f>IF($F318="","",IF($G318="USD",$F318*TC,$F318))</f>
      </c>
      <c r="I318" s="19">
        <f>IF($F318="","",IF($G318="USD",$F318,$F318/TC))</f>
      </c>
      <c r="J318" s="11"/>
      <c r="K318" s="11"/>
      <c r="L318" s="11"/>
    </row>
    <row r="319" ht="22" customHeight="1" spans="1:12" x14ac:dyDescent="0.25">
      <c r="A319" s="16"/>
      <c r="B319" s="11"/>
      <c r="C319" s="11">
        <f>IF($B319="","",IFERROR(VLOOKUP($B319,Inquilinos!$A:$B,2,0),"ID inexistente"))</f>
      </c>
      <c r="D319" s="15">
        <f>IF($A319="","",MONTH($A319))</f>
      </c>
      <c r="E319" s="11"/>
      <c r="F319" s="7"/>
      <c r="G319" s="15"/>
      <c r="H319" s="15">
        <f>IF($F319="","",IF($G319="USD",$F319*TC,$F319))</f>
      </c>
      <c r="I319" s="19">
        <f>IF($F319="","",IF($G319="USD",$F319,$F319/TC))</f>
      </c>
      <c r="J319" s="11"/>
      <c r="K319" s="11"/>
      <c r="L319" s="11"/>
    </row>
    <row r="320" ht="22" customHeight="1" spans="1:12" x14ac:dyDescent="0.25">
      <c r="A320" s="16"/>
      <c r="B320" s="11"/>
      <c r="C320" s="11">
        <f>IF($B320="","",IFERROR(VLOOKUP($B320,Inquilinos!$A:$B,2,0),"ID inexistente"))</f>
      </c>
      <c r="D320" s="15">
        <f>IF($A320="","",MONTH($A320))</f>
      </c>
      <c r="E320" s="11"/>
      <c r="F320" s="7"/>
      <c r="G320" s="15"/>
      <c r="H320" s="15">
        <f>IF($F320="","",IF($G320="USD",$F320*TC,$F320))</f>
      </c>
      <c r="I320" s="19">
        <f>IF($F320="","",IF($G320="USD",$F320,$F320/TC))</f>
      </c>
      <c r="J320" s="11"/>
      <c r="K320" s="11"/>
      <c r="L320" s="11"/>
    </row>
    <row r="321" ht="22" customHeight="1" spans="1:12" x14ac:dyDescent="0.25">
      <c r="A321" s="16"/>
      <c r="B321" s="11"/>
      <c r="C321" s="11">
        <f>IF($B321="","",IFERROR(VLOOKUP($B321,Inquilinos!$A:$B,2,0),"ID inexistente"))</f>
      </c>
      <c r="D321" s="15">
        <f>IF($A321="","",MONTH($A321))</f>
      </c>
      <c r="E321" s="11"/>
      <c r="F321" s="7"/>
      <c r="G321" s="15"/>
      <c r="H321" s="15">
        <f>IF($F321="","",IF($G321="USD",$F321*TC,$F321))</f>
      </c>
      <c r="I321" s="19">
        <f>IF($F321="","",IF($G321="USD",$F321,$F321/TC))</f>
      </c>
      <c r="J321" s="11"/>
      <c r="K321" s="11"/>
      <c r="L321" s="11"/>
    </row>
    <row r="322" ht="22" customHeight="1" spans="1:12" x14ac:dyDescent="0.25">
      <c r="A322" s="16"/>
      <c r="B322" s="11"/>
      <c r="C322" s="11">
        <f>IF($B322="","",IFERROR(VLOOKUP($B322,Inquilinos!$A:$B,2,0),"ID inexistente"))</f>
      </c>
      <c r="D322" s="15">
        <f>IF($A322="","",MONTH($A322))</f>
      </c>
      <c r="E322" s="11"/>
      <c r="F322" s="7"/>
      <c r="G322" s="15"/>
      <c r="H322" s="15">
        <f>IF($F322="","",IF($G322="USD",$F322*TC,$F322))</f>
      </c>
      <c r="I322" s="19">
        <f>IF($F322="","",IF($G322="USD",$F322,$F322/TC))</f>
      </c>
      <c r="J322" s="11"/>
      <c r="K322" s="11"/>
      <c r="L322" s="11"/>
    </row>
    <row r="323" ht="22" customHeight="1" spans="1:12" x14ac:dyDescent="0.25">
      <c r="A323" s="16"/>
      <c r="B323" s="11"/>
      <c r="C323" s="11">
        <f>IF($B323="","",IFERROR(VLOOKUP($B323,Inquilinos!$A:$B,2,0),"ID inexistente"))</f>
      </c>
      <c r="D323" s="15">
        <f>IF($A323="","",MONTH($A323))</f>
      </c>
      <c r="E323" s="11"/>
      <c r="F323" s="7"/>
      <c r="G323" s="15"/>
      <c r="H323" s="15">
        <f>IF($F323="","",IF($G323="USD",$F323*TC,$F323))</f>
      </c>
      <c r="I323" s="19">
        <f>IF($F323="","",IF($G323="USD",$F323,$F323/TC))</f>
      </c>
      <c r="J323" s="11"/>
      <c r="K323" s="11"/>
      <c r="L323" s="11"/>
    </row>
    <row r="324" ht="22" customHeight="1" spans="1:12" x14ac:dyDescent="0.25">
      <c r="A324" s="16"/>
      <c r="B324" s="11"/>
      <c r="C324" s="11">
        <f>IF($B324="","",IFERROR(VLOOKUP($B324,Inquilinos!$A:$B,2,0),"ID inexistente"))</f>
      </c>
      <c r="D324" s="15">
        <f>IF($A324="","",MONTH($A324))</f>
      </c>
      <c r="E324" s="11"/>
      <c r="F324" s="7"/>
      <c r="G324" s="15"/>
      <c r="H324" s="15">
        <f>IF($F324="","",IF($G324="USD",$F324*TC,$F324))</f>
      </c>
      <c r="I324" s="19">
        <f>IF($F324="","",IF($G324="USD",$F324,$F324/TC))</f>
      </c>
      <c r="J324" s="11"/>
      <c r="K324" s="11"/>
      <c r="L324" s="11"/>
    </row>
    <row r="325" ht="22" customHeight="1" spans="1:12" x14ac:dyDescent="0.25">
      <c r="A325" s="16"/>
      <c r="B325" s="11"/>
      <c r="C325" s="11">
        <f>IF($B325="","",IFERROR(VLOOKUP($B325,Inquilinos!$A:$B,2,0),"ID inexistente"))</f>
      </c>
      <c r="D325" s="15">
        <f>IF($A325="","",MONTH($A325))</f>
      </c>
      <c r="E325" s="11"/>
      <c r="F325" s="7"/>
      <c r="G325" s="15"/>
      <c r="H325" s="15">
        <f>IF($F325="","",IF($G325="USD",$F325*TC,$F325))</f>
      </c>
      <c r="I325" s="19">
        <f>IF($F325="","",IF($G325="USD",$F325,$F325/TC))</f>
      </c>
      <c r="J325" s="11"/>
      <c r="K325" s="11"/>
      <c r="L325" s="11"/>
    </row>
    <row r="326" ht="22" customHeight="1" spans="1:12" x14ac:dyDescent="0.25">
      <c r="A326" s="16"/>
      <c r="B326" s="11"/>
      <c r="C326" s="11">
        <f>IF($B326="","",IFERROR(VLOOKUP($B326,Inquilinos!$A:$B,2,0),"ID inexistente"))</f>
      </c>
      <c r="D326" s="15">
        <f>IF($A326="","",MONTH($A326))</f>
      </c>
      <c r="E326" s="11"/>
      <c r="F326" s="7"/>
      <c r="G326" s="15"/>
      <c r="H326" s="15">
        <f>IF($F326="","",IF($G326="USD",$F326*TC,$F326))</f>
      </c>
      <c r="I326" s="19">
        <f>IF($F326="","",IF($G326="USD",$F326,$F326/TC))</f>
      </c>
      <c r="J326" s="11"/>
      <c r="K326" s="11"/>
      <c r="L326" s="11"/>
    </row>
    <row r="327" ht="22" customHeight="1" spans="1:12" x14ac:dyDescent="0.25">
      <c r="A327" s="16"/>
      <c r="B327" s="11"/>
      <c r="C327" s="11">
        <f>IF($B327="","",IFERROR(VLOOKUP($B327,Inquilinos!$A:$B,2,0),"ID inexistente"))</f>
      </c>
      <c r="D327" s="15">
        <f>IF($A327="","",MONTH($A327))</f>
      </c>
      <c r="E327" s="11"/>
      <c r="F327" s="7"/>
      <c r="G327" s="15"/>
      <c r="H327" s="15">
        <f>IF($F327="","",IF($G327="USD",$F327*TC,$F327))</f>
      </c>
      <c r="I327" s="19">
        <f>IF($F327="","",IF($G327="USD",$F327,$F327/TC))</f>
      </c>
      <c r="J327" s="11"/>
      <c r="K327" s="11"/>
      <c r="L327" s="11"/>
    </row>
    <row r="328" ht="22" customHeight="1" spans="1:12" x14ac:dyDescent="0.25">
      <c r="A328" s="16"/>
      <c r="B328" s="11"/>
      <c r="C328" s="11">
        <f>IF($B328="","",IFERROR(VLOOKUP($B328,Inquilinos!$A:$B,2,0),"ID inexistente"))</f>
      </c>
      <c r="D328" s="15">
        <f>IF($A328="","",MONTH($A328))</f>
      </c>
      <c r="E328" s="11"/>
      <c r="F328" s="7"/>
      <c r="G328" s="15"/>
      <c r="H328" s="15">
        <f>IF($F328="","",IF($G328="USD",$F328*TC,$F328))</f>
      </c>
      <c r="I328" s="19">
        <f>IF($F328="","",IF($G328="USD",$F328,$F328/TC))</f>
      </c>
      <c r="J328" s="11"/>
      <c r="K328" s="11"/>
      <c r="L328" s="11"/>
    </row>
    <row r="329" ht="22" customHeight="1" spans="1:12" x14ac:dyDescent="0.25">
      <c r="A329" s="16"/>
      <c r="B329" s="11"/>
      <c r="C329" s="11">
        <f>IF($B329="","",IFERROR(VLOOKUP($B329,Inquilinos!$A:$B,2,0),"ID inexistente"))</f>
      </c>
      <c r="D329" s="15">
        <f>IF($A329="","",MONTH($A329))</f>
      </c>
      <c r="E329" s="11"/>
      <c r="F329" s="7"/>
      <c r="G329" s="15"/>
      <c r="H329" s="15">
        <f>IF($F329="","",IF($G329="USD",$F329*TC,$F329))</f>
      </c>
      <c r="I329" s="19">
        <f>IF($F329="","",IF($G329="USD",$F329,$F329/TC))</f>
      </c>
      <c r="J329" s="11"/>
      <c r="K329" s="11"/>
      <c r="L329" s="11"/>
    </row>
    <row r="330" ht="22" customHeight="1" spans="1:12" x14ac:dyDescent="0.25">
      <c r="A330" s="16"/>
      <c r="B330" s="11"/>
      <c r="C330" s="11">
        <f>IF($B330="","",IFERROR(VLOOKUP($B330,Inquilinos!$A:$B,2,0),"ID inexistente"))</f>
      </c>
      <c r="D330" s="15">
        <f>IF($A330="","",MONTH($A330))</f>
      </c>
      <c r="E330" s="11"/>
      <c r="F330" s="7"/>
      <c r="G330" s="15"/>
      <c r="H330" s="15">
        <f>IF($F330="","",IF($G330="USD",$F330*TC,$F330))</f>
      </c>
      <c r="I330" s="19">
        <f>IF($F330="","",IF($G330="USD",$F330,$F330/TC))</f>
      </c>
      <c r="J330" s="11"/>
      <c r="K330" s="11"/>
      <c r="L330" s="11"/>
    </row>
    <row r="331" ht="22" customHeight="1" spans="1:12" x14ac:dyDescent="0.25">
      <c r="A331" s="16"/>
      <c r="B331" s="11"/>
      <c r="C331" s="11">
        <f>IF($B331="","",IFERROR(VLOOKUP($B331,Inquilinos!$A:$B,2,0),"ID inexistente"))</f>
      </c>
      <c r="D331" s="15">
        <f>IF($A331="","",MONTH($A331))</f>
      </c>
      <c r="E331" s="11"/>
      <c r="F331" s="7"/>
      <c r="G331" s="15"/>
      <c r="H331" s="15">
        <f>IF($F331="","",IF($G331="USD",$F331*TC,$F331))</f>
      </c>
      <c r="I331" s="19">
        <f>IF($F331="","",IF($G331="USD",$F331,$F331/TC))</f>
      </c>
      <c r="J331" s="11"/>
      <c r="K331" s="11"/>
      <c r="L331" s="11"/>
    </row>
    <row r="332" ht="22" customHeight="1" spans="1:12" x14ac:dyDescent="0.25">
      <c r="A332" s="16"/>
      <c r="B332" s="11"/>
      <c r="C332" s="11">
        <f>IF($B332="","",IFERROR(VLOOKUP($B332,Inquilinos!$A:$B,2,0),"ID inexistente"))</f>
      </c>
      <c r="D332" s="15">
        <f>IF($A332="","",MONTH($A332))</f>
      </c>
      <c r="E332" s="11"/>
      <c r="F332" s="7"/>
      <c r="G332" s="15"/>
      <c r="H332" s="15">
        <f>IF($F332="","",IF($G332="USD",$F332*TC,$F332))</f>
      </c>
      <c r="I332" s="19">
        <f>IF($F332="","",IF($G332="USD",$F332,$F332/TC))</f>
      </c>
      <c r="J332" s="11"/>
      <c r="K332" s="11"/>
      <c r="L332" s="11"/>
    </row>
    <row r="333" ht="22" customHeight="1" spans="1:12" x14ac:dyDescent="0.25">
      <c r="A333" s="16"/>
      <c r="B333" s="11"/>
      <c r="C333" s="11">
        <f>IF($B333="","",IFERROR(VLOOKUP($B333,Inquilinos!$A:$B,2,0),"ID inexistente"))</f>
      </c>
      <c r="D333" s="15">
        <f>IF($A333="","",MONTH($A333))</f>
      </c>
      <c r="E333" s="11"/>
      <c r="F333" s="7"/>
      <c r="G333" s="15"/>
      <c r="H333" s="15">
        <f>IF($F333="","",IF($G333="USD",$F333*TC,$F333))</f>
      </c>
      <c r="I333" s="19">
        <f>IF($F333="","",IF($G333="USD",$F333,$F333/TC))</f>
      </c>
      <c r="J333" s="11"/>
      <c r="K333" s="11"/>
      <c r="L333" s="11"/>
    </row>
    <row r="334" ht="22" customHeight="1" spans="1:12" x14ac:dyDescent="0.25">
      <c r="A334" s="16"/>
      <c r="B334" s="11"/>
      <c r="C334" s="11">
        <f>IF($B334="","",IFERROR(VLOOKUP($B334,Inquilinos!$A:$B,2,0),"ID inexistente"))</f>
      </c>
      <c r="D334" s="15">
        <f>IF($A334="","",MONTH($A334))</f>
      </c>
      <c r="E334" s="11"/>
      <c r="F334" s="7"/>
      <c r="G334" s="15"/>
      <c r="H334" s="15">
        <f>IF($F334="","",IF($G334="USD",$F334*TC,$F334))</f>
      </c>
      <c r="I334" s="19">
        <f>IF($F334="","",IF($G334="USD",$F334,$F334/TC))</f>
      </c>
      <c r="J334" s="11"/>
      <c r="K334" s="11"/>
      <c r="L334" s="11"/>
    </row>
    <row r="335" ht="22" customHeight="1" spans="1:12" x14ac:dyDescent="0.25">
      <c r="A335" s="16"/>
      <c r="B335" s="11"/>
      <c r="C335" s="11">
        <f>IF($B335="","",IFERROR(VLOOKUP($B335,Inquilinos!$A:$B,2,0),"ID inexistente"))</f>
      </c>
      <c r="D335" s="15">
        <f>IF($A335="","",MONTH($A335))</f>
      </c>
      <c r="E335" s="11"/>
      <c r="F335" s="7"/>
      <c r="G335" s="15"/>
      <c r="H335" s="15">
        <f>IF($F335="","",IF($G335="USD",$F335*TC,$F335))</f>
      </c>
      <c r="I335" s="19">
        <f>IF($F335="","",IF($G335="USD",$F335,$F335/TC))</f>
      </c>
      <c r="J335" s="11"/>
      <c r="K335" s="11"/>
      <c r="L335" s="11"/>
    </row>
    <row r="336" ht="22" customHeight="1" spans="1:12" x14ac:dyDescent="0.25">
      <c r="A336" s="16"/>
      <c r="B336" s="11"/>
      <c r="C336" s="11">
        <f>IF($B336="","",IFERROR(VLOOKUP($B336,Inquilinos!$A:$B,2,0),"ID inexistente"))</f>
      </c>
      <c r="D336" s="15">
        <f>IF($A336="","",MONTH($A336))</f>
      </c>
      <c r="E336" s="11"/>
      <c r="F336" s="7"/>
      <c r="G336" s="15"/>
      <c r="H336" s="15">
        <f>IF($F336="","",IF($G336="USD",$F336*TC,$F336))</f>
      </c>
      <c r="I336" s="19">
        <f>IF($F336="","",IF($G336="USD",$F336,$F336/TC))</f>
      </c>
      <c r="J336" s="11"/>
      <c r="K336" s="11"/>
      <c r="L336" s="11"/>
    </row>
    <row r="337" ht="22" customHeight="1" spans="1:12" x14ac:dyDescent="0.25">
      <c r="A337" s="16"/>
      <c r="B337" s="11"/>
      <c r="C337" s="11">
        <f>IF($B337="","",IFERROR(VLOOKUP($B337,Inquilinos!$A:$B,2,0),"ID inexistente"))</f>
      </c>
      <c r="D337" s="15">
        <f>IF($A337="","",MONTH($A337))</f>
      </c>
      <c r="E337" s="11"/>
      <c r="F337" s="7"/>
      <c r="G337" s="15"/>
      <c r="H337" s="15">
        <f>IF($F337="","",IF($G337="USD",$F337*TC,$F337))</f>
      </c>
      <c r="I337" s="19">
        <f>IF($F337="","",IF($G337="USD",$F337,$F337/TC))</f>
      </c>
      <c r="J337" s="11"/>
      <c r="K337" s="11"/>
      <c r="L337" s="11"/>
    </row>
    <row r="338" ht="22" customHeight="1" spans="1:12" x14ac:dyDescent="0.25">
      <c r="A338" s="16"/>
      <c r="B338" s="11"/>
      <c r="C338" s="11">
        <f>IF($B338="","",IFERROR(VLOOKUP($B338,Inquilinos!$A:$B,2,0),"ID inexistente"))</f>
      </c>
      <c r="D338" s="15">
        <f>IF($A338="","",MONTH($A338))</f>
      </c>
      <c r="E338" s="11"/>
      <c r="F338" s="7"/>
      <c r="G338" s="15"/>
      <c r="H338" s="15">
        <f>IF($F338="","",IF($G338="USD",$F338*TC,$F338))</f>
      </c>
      <c r="I338" s="19">
        <f>IF($F338="","",IF($G338="USD",$F338,$F338/TC))</f>
      </c>
      <c r="J338" s="11"/>
      <c r="K338" s="11"/>
      <c r="L338" s="11"/>
    </row>
    <row r="339" ht="22" customHeight="1" spans="1:12" x14ac:dyDescent="0.25">
      <c r="A339" s="16"/>
      <c r="B339" s="11"/>
      <c r="C339" s="11">
        <f>IF($B339="","",IFERROR(VLOOKUP($B339,Inquilinos!$A:$B,2,0),"ID inexistente"))</f>
      </c>
      <c r="D339" s="15">
        <f>IF($A339="","",MONTH($A339))</f>
      </c>
      <c r="E339" s="11"/>
      <c r="F339" s="7"/>
      <c r="G339" s="15"/>
      <c r="H339" s="15">
        <f>IF($F339="","",IF($G339="USD",$F339*TC,$F339))</f>
      </c>
      <c r="I339" s="19">
        <f>IF($F339="","",IF($G339="USD",$F339,$F339/TC))</f>
      </c>
      <c r="J339" s="11"/>
      <c r="K339" s="11"/>
      <c r="L339" s="11"/>
    </row>
    <row r="340" ht="22" customHeight="1" spans="1:12" x14ac:dyDescent="0.25">
      <c r="A340" s="16"/>
      <c r="B340" s="11"/>
      <c r="C340" s="11">
        <f>IF($B340="","",IFERROR(VLOOKUP($B340,Inquilinos!$A:$B,2,0),"ID inexistente"))</f>
      </c>
      <c r="D340" s="15">
        <f>IF($A340="","",MONTH($A340))</f>
      </c>
      <c r="E340" s="11"/>
      <c r="F340" s="7"/>
      <c r="G340" s="15"/>
      <c r="H340" s="15">
        <f>IF($F340="","",IF($G340="USD",$F340*TC,$F340))</f>
      </c>
      <c r="I340" s="19">
        <f>IF($F340="","",IF($G340="USD",$F340,$F340/TC))</f>
      </c>
      <c r="J340" s="11"/>
      <c r="K340" s="11"/>
      <c r="L340" s="11"/>
    </row>
    <row r="341" ht="22" customHeight="1" spans="1:12" x14ac:dyDescent="0.25">
      <c r="A341" s="16"/>
      <c r="B341" s="11"/>
      <c r="C341" s="11">
        <f>IF($B341="","",IFERROR(VLOOKUP($B341,Inquilinos!$A:$B,2,0),"ID inexistente"))</f>
      </c>
      <c r="D341" s="15">
        <f>IF($A341="","",MONTH($A341))</f>
      </c>
      <c r="E341" s="11"/>
      <c r="F341" s="7"/>
      <c r="G341" s="15"/>
      <c r="H341" s="15">
        <f>IF($F341="","",IF($G341="USD",$F341*TC,$F341))</f>
      </c>
      <c r="I341" s="19">
        <f>IF($F341="","",IF($G341="USD",$F341,$F341/TC))</f>
      </c>
      <c r="J341" s="11"/>
      <c r="K341" s="11"/>
      <c r="L341" s="11"/>
    </row>
    <row r="342" ht="22" customHeight="1" spans="1:12" x14ac:dyDescent="0.25">
      <c r="A342" s="16"/>
      <c r="B342" s="11"/>
      <c r="C342" s="11">
        <f>IF($B342="","",IFERROR(VLOOKUP($B342,Inquilinos!$A:$B,2,0),"ID inexistente"))</f>
      </c>
      <c r="D342" s="15">
        <f>IF($A342="","",MONTH($A342))</f>
      </c>
      <c r="E342" s="11"/>
      <c r="F342" s="7"/>
      <c r="G342" s="15"/>
      <c r="H342" s="15">
        <f>IF($F342="","",IF($G342="USD",$F342*TC,$F342))</f>
      </c>
      <c r="I342" s="19">
        <f>IF($F342="","",IF($G342="USD",$F342,$F342/TC))</f>
      </c>
      <c r="J342" s="11"/>
      <c r="K342" s="11"/>
      <c r="L342" s="11"/>
    </row>
    <row r="343" ht="22" customHeight="1" spans="1:12" x14ac:dyDescent="0.25">
      <c r="A343" s="16"/>
      <c r="B343" s="11"/>
      <c r="C343" s="11">
        <f>IF($B343="","",IFERROR(VLOOKUP($B343,Inquilinos!$A:$B,2,0),"ID inexistente"))</f>
      </c>
      <c r="D343" s="15">
        <f>IF($A343="","",MONTH($A343))</f>
      </c>
      <c r="E343" s="11"/>
      <c r="F343" s="7"/>
      <c r="G343" s="15"/>
      <c r="H343" s="15">
        <f>IF($F343="","",IF($G343="USD",$F343*TC,$F343))</f>
      </c>
      <c r="I343" s="19">
        <f>IF($F343="","",IF($G343="USD",$F343,$F343/TC))</f>
      </c>
      <c r="J343" s="11"/>
      <c r="K343" s="11"/>
      <c r="L343" s="11"/>
    </row>
    <row r="344" ht="22" customHeight="1" spans="1:12" x14ac:dyDescent="0.25">
      <c r="A344" s="16"/>
      <c r="B344" s="11"/>
      <c r="C344" s="11">
        <f>IF($B344="","",IFERROR(VLOOKUP($B344,Inquilinos!$A:$B,2,0),"ID inexistente"))</f>
      </c>
      <c r="D344" s="15">
        <f>IF($A344="","",MONTH($A344))</f>
      </c>
      <c r="E344" s="11"/>
      <c r="F344" s="7"/>
      <c r="G344" s="15"/>
      <c r="H344" s="15">
        <f>IF($F344="","",IF($G344="USD",$F344*TC,$F344))</f>
      </c>
      <c r="I344" s="19">
        <f>IF($F344="","",IF($G344="USD",$F344,$F344/TC))</f>
      </c>
      <c r="J344" s="11"/>
      <c r="K344" s="11"/>
      <c r="L344" s="11"/>
    </row>
    <row r="345" ht="22" customHeight="1" spans="1:12" x14ac:dyDescent="0.25">
      <c r="A345" s="16"/>
      <c r="B345" s="11"/>
      <c r="C345" s="11">
        <f>IF($B345="","",IFERROR(VLOOKUP($B345,Inquilinos!$A:$B,2,0),"ID inexistente"))</f>
      </c>
      <c r="D345" s="15">
        <f>IF($A345="","",MONTH($A345))</f>
      </c>
      <c r="E345" s="11"/>
      <c r="F345" s="7"/>
      <c r="G345" s="15"/>
      <c r="H345" s="15">
        <f>IF($F345="","",IF($G345="USD",$F345*TC,$F345))</f>
      </c>
      <c r="I345" s="19">
        <f>IF($F345="","",IF($G345="USD",$F345,$F345/TC))</f>
      </c>
      <c r="J345" s="11"/>
      <c r="K345" s="11"/>
      <c r="L345" s="11"/>
    </row>
    <row r="346" ht="22" customHeight="1" spans="1:12" x14ac:dyDescent="0.25">
      <c r="A346" s="16"/>
      <c r="B346" s="11"/>
      <c r="C346" s="11">
        <f>IF($B346="","",IFERROR(VLOOKUP($B346,Inquilinos!$A:$B,2,0),"ID inexistente"))</f>
      </c>
      <c r="D346" s="15">
        <f>IF($A346="","",MONTH($A346))</f>
      </c>
      <c r="E346" s="11"/>
      <c r="F346" s="7"/>
      <c r="G346" s="15"/>
      <c r="H346" s="15">
        <f>IF($F346="","",IF($G346="USD",$F346*TC,$F346))</f>
      </c>
      <c r="I346" s="19">
        <f>IF($F346="","",IF($G346="USD",$F346,$F346/TC))</f>
      </c>
      <c r="J346" s="11"/>
      <c r="K346" s="11"/>
      <c r="L346" s="11"/>
    </row>
    <row r="347" ht="22" customHeight="1" spans="1:12" x14ac:dyDescent="0.25">
      <c r="A347" s="16"/>
      <c r="B347" s="11"/>
      <c r="C347" s="11">
        <f>IF($B347="","",IFERROR(VLOOKUP($B347,Inquilinos!$A:$B,2,0),"ID inexistente"))</f>
      </c>
      <c r="D347" s="15">
        <f>IF($A347="","",MONTH($A347))</f>
      </c>
      <c r="E347" s="11"/>
      <c r="F347" s="7"/>
      <c r="G347" s="15"/>
      <c r="H347" s="15">
        <f>IF($F347="","",IF($G347="USD",$F347*TC,$F347))</f>
      </c>
      <c r="I347" s="19">
        <f>IF($F347="","",IF($G347="USD",$F347,$F347/TC))</f>
      </c>
      <c r="J347" s="11"/>
      <c r="K347" s="11"/>
      <c r="L347" s="11"/>
    </row>
    <row r="348" ht="22" customHeight="1" spans="1:12" x14ac:dyDescent="0.25">
      <c r="A348" s="16"/>
      <c r="B348" s="11"/>
      <c r="C348" s="11">
        <f>IF($B348="","",IFERROR(VLOOKUP($B348,Inquilinos!$A:$B,2,0),"ID inexistente"))</f>
      </c>
      <c r="D348" s="15">
        <f>IF($A348="","",MONTH($A348))</f>
      </c>
      <c r="E348" s="11"/>
      <c r="F348" s="7"/>
      <c r="G348" s="15"/>
      <c r="H348" s="15">
        <f>IF($F348="","",IF($G348="USD",$F348*TC,$F348))</f>
      </c>
      <c r="I348" s="19">
        <f>IF($F348="","",IF($G348="USD",$F348,$F348/TC))</f>
      </c>
      <c r="J348" s="11"/>
      <c r="K348" s="11"/>
      <c r="L348" s="11"/>
    </row>
    <row r="349" ht="22" customHeight="1" spans="1:12" x14ac:dyDescent="0.25">
      <c r="A349" s="16"/>
      <c r="B349" s="11"/>
      <c r="C349" s="11">
        <f>IF($B349="","",IFERROR(VLOOKUP($B349,Inquilinos!$A:$B,2,0),"ID inexistente"))</f>
      </c>
      <c r="D349" s="15">
        <f>IF($A349="","",MONTH($A349))</f>
      </c>
      <c r="E349" s="11"/>
      <c r="F349" s="7"/>
      <c r="G349" s="15"/>
      <c r="H349" s="15">
        <f>IF($F349="","",IF($G349="USD",$F349*TC,$F349))</f>
      </c>
      <c r="I349" s="19">
        <f>IF($F349="","",IF($G349="USD",$F349,$F349/TC))</f>
      </c>
      <c r="J349" s="11"/>
      <c r="K349" s="11"/>
      <c r="L349" s="11"/>
    </row>
    <row r="350" ht="22" customHeight="1" spans="1:12" x14ac:dyDescent="0.25">
      <c r="A350" s="16"/>
      <c r="B350" s="11"/>
      <c r="C350" s="11">
        <f>IF($B350="","",IFERROR(VLOOKUP($B350,Inquilinos!$A:$B,2,0),"ID inexistente"))</f>
      </c>
      <c r="D350" s="15">
        <f>IF($A350="","",MONTH($A350))</f>
      </c>
      <c r="E350" s="11"/>
      <c r="F350" s="7"/>
      <c r="G350" s="15"/>
      <c r="H350" s="15">
        <f>IF($F350="","",IF($G350="USD",$F350*TC,$F350))</f>
      </c>
      <c r="I350" s="19">
        <f>IF($F350="","",IF($G350="USD",$F350,$F350/TC))</f>
      </c>
      <c r="J350" s="11"/>
      <c r="K350" s="11"/>
      <c r="L350" s="11"/>
    </row>
    <row r="351" ht="22" customHeight="1" spans="1:12" x14ac:dyDescent="0.25">
      <c r="A351" s="16"/>
      <c r="B351" s="11"/>
      <c r="C351" s="11">
        <f>IF($B351="","",IFERROR(VLOOKUP($B351,Inquilinos!$A:$B,2,0),"ID inexistente"))</f>
      </c>
      <c r="D351" s="15">
        <f>IF($A351="","",MONTH($A351))</f>
      </c>
      <c r="E351" s="11"/>
      <c r="F351" s="7"/>
      <c r="G351" s="15"/>
      <c r="H351" s="15">
        <f>IF($F351="","",IF($G351="USD",$F351*TC,$F351))</f>
      </c>
      <c r="I351" s="19">
        <f>IF($F351="","",IF($G351="USD",$F351,$F351/TC))</f>
      </c>
      <c r="J351" s="11"/>
      <c r="K351" s="11"/>
      <c r="L351" s="11"/>
    </row>
    <row r="352" ht="22" customHeight="1" spans="1:12" x14ac:dyDescent="0.25">
      <c r="A352" s="16"/>
      <c r="B352" s="11"/>
      <c r="C352" s="11">
        <f>IF($B352="","",IFERROR(VLOOKUP($B352,Inquilinos!$A:$B,2,0),"ID inexistente"))</f>
      </c>
      <c r="D352" s="15">
        <f>IF($A352="","",MONTH($A352))</f>
      </c>
      <c r="E352" s="11"/>
      <c r="F352" s="7"/>
      <c r="G352" s="15"/>
      <c r="H352" s="15">
        <f>IF($F352="","",IF($G352="USD",$F352*TC,$F352))</f>
      </c>
      <c r="I352" s="19">
        <f>IF($F352="","",IF($G352="USD",$F352,$F352/TC))</f>
      </c>
      <c r="J352" s="11"/>
      <c r="K352" s="11"/>
      <c r="L352" s="11"/>
    </row>
    <row r="353" ht="22" customHeight="1" spans="1:12" x14ac:dyDescent="0.25">
      <c r="A353" s="16"/>
      <c r="B353" s="11"/>
      <c r="C353" s="11">
        <f>IF($B353="","",IFERROR(VLOOKUP($B353,Inquilinos!$A:$B,2,0),"ID inexistente"))</f>
      </c>
      <c r="D353" s="15">
        <f>IF($A353="","",MONTH($A353))</f>
      </c>
      <c r="E353" s="11"/>
      <c r="F353" s="7"/>
      <c r="G353" s="15"/>
      <c r="H353" s="15">
        <f>IF($F353="","",IF($G353="USD",$F353*TC,$F353))</f>
      </c>
      <c r="I353" s="19">
        <f>IF($F353="","",IF($G353="USD",$F353,$F353/TC))</f>
      </c>
      <c r="J353" s="11"/>
      <c r="K353" s="11"/>
      <c r="L353" s="11"/>
    </row>
    <row r="354" ht="22" customHeight="1" spans="1:12" x14ac:dyDescent="0.25">
      <c r="A354" s="16"/>
      <c r="B354" s="11"/>
      <c r="C354" s="11">
        <f>IF($B354="","",IFERROR(VLOOKUP($B354,Inquilinos!$A:$B,2,0),"ID inexistente"))</f>
      </c>
      <c r="D354" s="15">
        <f>IF($A354="","",MONTH($A354))</f>
      </c>
      <c r="E354" s="11"/>
      <c r="F354" s="7"/>
      <c r="G354" s="15"/>
      <c r="H354" s="15">
        <f>IF($F354="","",IF($G354="USD",$F354*TC,$F354))</f>
      </c>
      <c r="I354" s="19">
        <f>IF($F354="","",IF($G354="USD",$F354,$F354/TC))</f>
      </c>
      <c r="J354" s="11"/>
      <c r="K354" s="11"/>
      <c r="L354" s="11"/>
    </row>
    <row r="355" ht="22" customHeight="1" spans="1:12" x14ac:dyDescent="0.25">
      <c r="A355" s="16"/>
      <c r="B355" s="11"/>
      <c r="C355" s="11">
        <f>IF($B355="","",IFERROR(VLOOKUP($B355,Inquilinos!$A:$B,2,0),"ID inexistente"))</f>
      </c>
      <c r="D355" s="15">
        <f>IF($A355="","",MONTH($A355))</f>
      </c>
      <c r="E355" s="11"/>
      <c r="F355" s="7"/>
      <c r="G355" s="15"/>
      <c r="H355" s="15">
        <f>IF($F355="","",IF($G355="USD",$F355*TC,$F355))</f>
      </c>
      <c r="I355" s="19">
        <f>IF($F355="","",IF($G355="USD",$F355,$F355/TC))</f>
      </c>
      <c r="J355" s="11"/>
      <c r="K355" s="11"/>
      <c r="L355" s="11"/>
    </row>
    <row r="356" ht="22" customHeight="1" spans="1:12" x14ac:dyDescent="0.25">
      <c r="A356" s="16"/>
      <c r="B356" s="11"/>
      <c r="C356" s="11">
        <f>IF($B356="","",IFERROR(VLOOKUP($B356,Inquilinos!$A:$B,2,0),"ID inexistente"))</f>
      </c>
      <c r="D356" s="15">
        <f>IF($A356="","",MONTH($A356))</f>
      </c>
      <c r="E356" s="11"/>
      <c r="F356" s="7"/>
      <c r="G356" s="15"/>
      <c r="H356" s="15">
        <f>IF($F356="","",IF($G356="USD",$F356*TC,$F356))</f>
      </c>
      <c r="I356" s="19">
        <f>IF($F356="","",IF($G356="USD",$F356,$F356/TC))</f>
      </c>
      <c r="J356" s="11"/>
      <c r="K356" s="11"/>
      <c r="L356" s="11"/>
    </row>
    <row r="357" ht="22" customHeight="1" spans="1:12" x14ac:dyDescent="0.25">
      <c r="A357" s="16"/>
      <c r="B357" s="11"/>
      <c r="C357" s="11">
        <f>IF($B357="","",IFERROR(VLOOKUP($B357,Inquilinos!$A:$B,2,0),"ID inexistente"))</f>
      </c>
      <c r="D357" s="15">
        <f>IF($A357="","",MONTH($A357))</f>
      </c>
      <c r="E357" s="11"/>
      <c r="F357" s="7"/>
      <c r="G357" s="15"/>
      <c r="H357" s="15">
        <f>IF($F357="","",IF($G357="USD",$F357*TC,$F357))</f>
      </c>
      <c r="I357" s="19">
        <f>IF($F357="","",IF($G357="USD",$F357,$F357/TC))</f>
      </c>
      <c r="J357" s="11"/>
      <c r="K357" s="11"/>
      <c r="L357" s="11"/>
    </row>
    <row r="358" ht="22" customHeight="1" spans="1:12" x14ac:dyDescent="0.25">
      <c r="A358" s="16"/>
      <c r="B358" s="11"/>
      <c r="C358" s="11">
        <f>IF($B358="","",IFERROR(VLOOKUP($B358,Inquilinos!$A:$B,2,0),"ID inexistente"))</f>
      </c>
      <c r="D358" s="15">
        <f>IF($A358="","",MONTH($A358))</f>
      </c>
      <c r="E358" s="11"/>
      <c r="F358" s="7"/>
      <c r="G358" s="15"/>
      <c r="H358" s="15">
        <f>IF($F358="","",IF($G358="USD",$F358*TC,$F358))</f>
      </c>
      <c r="I358" s="19">
        <f>IF($F358="","",IF($G358="USD",$F358,$F358/TC))</f>
      </c>
      <c r="J358" s="11"/>
      <c r="K358" s="11"/>
      <c r="L358" s="11"/>
    </row>
    <row r="359" ht="22" customHeight="1" spans="1:12" x14ac:dyDescent="0.25">
      <c r="A359" s="16"/>
      <c r="B359" s="11"/>
      <c r="C359" s="11">
        <f>IF($B359="","",IFERROR(VLOOKUP($B359,Inquilinos!$A:$B,2,0),"ID inexistente"))</f>
      </c>
      <c r="D359" s="15">
        <f>IF($A359="","",MONTH($A359))</f>
      </c>
      <c r="E359" s="11"/>
      <c r="F359" s="7"/>
      <c r="G359" s="15"/>
      <c r="H359" s="15">
        <f>IF($F359="","",IF($G359="USD",$F359*TC,$F359))</f>
      </c>
      <c r="I359" s="19">
        <f>IF($F359="","",IF($G359="USD",$F359,$F359/TC))</f>
      </c>
      <c r="J359" s="11"/>
      <c r="K359" s="11"/>
      <c r="L359" s="11"/>
    </row>
    <row r="360" ht="22" customHeight="1" spans="1:12" x14ac:dyDescent="0.25">
      <c r="A360" s="16"/>
      <c r="B360" s="11"/>
      <c r="C360" s="11">
        <f>IF($B360="","",IFERROR(VLOOKUP($B360,Inquilinos!$A:$B,2,0),"ID inexistente"))</f>
      </c>
      <c r="D360" s="15">
        <f>IF($A360="","",MONTH($A360))</f>
      </c>
      <c r="E360" s="11"/>
      <c r="F360" s="7"/>
      <c r="G360" s="15"/>
      <c r="H360" s="15">
        <f>IF($F360="","",IF($G360="USD",$F360*TC,$F360))</f>
      </c>
      <c r="I360" s="19">
        <f>IF($F360="","",IF($G360="USD",$F360,$F360/TC))</f>
      </c>
      <c r="J360" s="11"/>
      <c r="K360" s="11"/>
      <c r="L360" s="11"/>
    </row>
    <row r="361" ht="22" customHeight="1" spans="1:12" x14ac:dyDescent="0.25">
      <c r="A361" s="16"/>
      <c r="B361" s="11"/>
      <c r="C361" s="11">
        <f>IF($B361="","",IFERROR(VLOOKUP($B361,Inquilinos!$A:$B,2,0),"ID inexistente"))</f>
      </c>
      <c r="D361" s="15">
        <f>IF($A361="","",MONTH($A361))</f>
      </c>
      <c r="E361" s="11"/>
      <c r="F361" s="7"/>
      <c r="G361" s="15"/>
      <c r="H361" s="15">
        <f>IF($F361="","",IF($G361="USD",$F361*TC,$F361))</f>
      </c>
      <c r="I361" s="19">
        <f>IF($F361="","",IF($G361="USD",$F361,$F361/TC))</f>
      </c>
      <c r="J361" s="11"/>
      <c r="K361" s="11"/>
      <c r="L361" s="11"/>
    </row>
    <row r="362" ht="22" customHeight="1" spans="1:12" x14ac:dyDescent="0.25">
      <c r="A362" s="16"/>
      <c r="B362" s="11"/>
      <c r="C362" s="11">
        <f>IF($B362="","",IFERROR(VLOOKUP($B362,Inquilinos!$A:$B,2,0),"ID inexistente"))</f>
      </c>
      <c r="D362" s="15">
        <f>IF($A362="","",MONTH($A362))</f>
      </c>
      <c r="E362" s="11"/>
      <c r="F362" s="7"/>
      <c r="G362" s="15"/>
      <c r="H362" s="15">
        <f>IF($F362="","",IF($G362="USD",$F362*TC,$F362))</f>
      </c>
      <c r="I362" s="19">
        <f>IF($F362="","",IF($G362="USD",$F362,$F362/TC))</f>
      </c>
      <c r="J362" s="11"/>
      <c r="K362" s="11"/>
      <c r="L362" s="11"/>
    </row>
    <row r="363" ht="22" customHeight="1" spans="1:12" x14ac:dyDescent="0.25">
      <c r="A363" s="16"/>
      <c r="B363" s="11"/>
      <c r="C363" s="11">
        <f>IF($B363="","",IFERROR(VLOOKUP($B363,Inquilinos!$A:$B,2,0),"ID inexistente"))</f>
      </c>
      <c r="D363" s="15">
        <f>IF($A363="","",MONTH($A363))</f>
      </c>
      <c r="E363" s="11"/>
      <c r="F363" s="7"/>
      <c r="G363" s="15"/>
      <c r="H363" s="15">
        <f>IF($F363="","",IF($G363="USD",$F363*TC,$F363))</f>
      </c>
      <c r="I363" s="19">
        <f>IF($F363="","",IF($G363="USD",$F363,$F363/TC))</f>
      </c>
      <c r="J363" s="11"/>
      <c r="K363" s="11"/>
      <c r="L363" s="11"/>
    </row>
    <row r="364" ht="22" customHeight="1" spans="1:12" x14ac:dyDescent="0.25">
      <c r="A364" s="16"/>
      <c r="B364" s="11"/>
      <c r="C364" s="11">
        <f>IF($B364="","",IFERROR(VLOOKUP($B364,Inquilinos!$A:$B,2,0),"ID inexistente"))</f>
      </c>
      <c r="D364" s="15">
        <f>IF($A364="","",MONTH($A364))</f>
      </c>
      <c r="E364" s="11"/>
      <c r="F364" s="7"/>
      <c r="G364" s="15"/>
      <c r="H364" s="15">
        <f>IF($F364="","",IF($G364="USD",$F364*TC,$F364))</f>
      </c>
      <c r="I364" s="19">
        <f>IF($F364="","",IF($G364="USD",$F364,$F364/TC))</f>
      </c>
      <c r="J364" s="11"/>
      <c r="K364" s="11"/>
      <c r="L364" s="11"/>
    </row>
    <row r="365" ht="22" customHeight="1" spans="1:12" x14ac:dyDescent="0.25">
      <c r="A365" s="16"/>
      <c r="B365" s="11"/>
      <c r="C365" s="11">
        <f>IF($B365="","",IFERROR(VLOOKUP($B365,Inquilinos!$A:$B,2,0),"ID inexistente"))</f>
      </c>
      <c r="D365" s="15">
        <f>IF($A365="","",MONTH($A365))</f>
      </c>
      <c r="E365" s="11"/>
      <c r="F365" s="7"/>
      <c r="G365" s="15"/>
      <c r="H365" s="15">
        <f>IF($F365="","",IF($G365="USD",$F365*TC,$F365))</f>
      </c>
      <c r="I365" s="19">
        <f>IF($F365="","",IF($G365="USD",$F365,$F365/TC))</f>
      </c>
      <c r="J365" s="11"/>
      <c r="K365" s="11"/>
      <c r="L365" s="11"/>
    </row>
    <row r="366" ht="22" customHeight="1" spans="1:12" x14ac:dyDescent="0.25">
      <c r="A366" s="16"/>
      <c r="B366" s="11"/>
      <c r="C366" s="11">
        <f>IF($B366="","",IFERROR(VLOOKUP($B366,Inquilinos!$A:$B,2,0),"ID inexistente"))</f>
      </c>
      <c r="D366" s="15">
        <f>IF($A366="","",MONTH($A366))</f>
      </c>
      <c r="E366" s="11"/>
      <c r="F366" s="7"/>
      <c r="G366" s="15"/>
      <c r="H366" s="15">
        <f>IF($F366="","",IF($G366="USD",$F366*TC,$F366))</f>
      </c>
      <c r="I366" s="19">
        <f>IF($F366="","",IF($G366="USD",$F366,$F366/TC))</f>
      </c>
      <c r="J366" s="11"/>
      <c r="K366" s="11"/>
      <c r="L366" s="11"/>
    </row>
    <row r="367" ht="22" customHeight="1" spans="1:12" x14ac:dyDescent="0.25">
      <c r="A367" s="16"/>
      <c r="B367" s="11"/>
      <c r="C367" s="11">
        <f>IF($B367="","",IFERROR(VLOOKUP($B367,Inquilinos!$A:$B,2,0),"ID inexistente"))</f>
      </c>
      <c r="D367" s="15">
        <f>IF($A367="","",MONTH($A367))</f>
      </c>
      <c r="E367" s="11"/>
      <c r="F367" s="7"/>
      <c r="G367" s="15"/>
      <c r="H367" s="15">
        <f>IF($F367="","",IF($G367="USD",$F367*TC,$F367))</f>
      </c>
      <c r="I367" s="19">
        <f>IF($F367="","",IF($G367="USD",$F367,$F367/TC))</f>
      </c>
      <c r="J367" s="11"/>
      <c r="K367" s="11"/>
      <c r="L367" s="11"/>
    </row>
    <row r="368" ht="22" customHeight="1" spans="1:12" x14ac:dyDescent="0.25">
      <c r="A368" s="16"/>
      <c r="B368" s="11"/>
      <c r="C368" s="11">
        <f>IF($B368="","",IFERROR(VLOOKUP($B368,Inquilinos!$A:$B,2,0),"ID inexistente"))</f>
      </c>
      <c r="D368" s="15">
        <f>IF($A368="","",MONTH($A368))</f>
      </c>
      <c r="E368" s="11"/>
      <c r="F368" s="7"/>
      <c r="G368" s="15"/>
      <c r="H368" s="15">
        <f>IF($F368="","",IF($G368="USD",$F368*TC,$F368))</f>
      </c>
      <c r="I368" s="19">
        <f>IF($F368="","",IF($G368="USD",$F368,$F368/TC))</f>
      </c>
      <c r="J368" s="11"/>
      <c r="K368" s="11"/>
      <c r="L368" s="11"/>
    </row>
    <row r="369" ht="22" customHeight="1" spans="1:12" x14ac:dyDescent="0.25">
      <c r="A369" s="16"/>
      <c r="B369" s="11"/>
      <c r="C369" s="11">
        <f>IF($B369="","",IFERROR(VLOOKUP($B369,Inquilinos!$A:$B,2,0),"ID inexistente"))</f>
      </c>
      <c r="D369" s="15">
        <f>IF($A369="","",MONTH($A369))</f>
      </c>
      <c r="E369" s="11"/>
      <c r="F369" s="7"/>
      <c r="G369" s="15"/>
      <c r="H369" s="15">
        <f>IF($F369="","",IF($G369="USD",$F369*TC,$F369))</f>
      </c>
      <c r="I369" s="19">
        <f>IF($F369="","",IF($G369="USD",$F369,$F369/TC))</f>
      </c>
      <c r="J369" s="11"/>
      <c r="K369" s="11"/>
      <c r="L369" s="11"/>
    </row>
    <row r="370" ht="22" customHeight="1" spans="1:12" x14ac:dyDescent="0.25">
      <c r="A370" s="16"/>
      <c r="B370" s="11"/>
      <c r="C370" s="11">
        <f>IF($B370="","",IFERROR(VLOOKUP($B370,Inquilinos!$A:$B,2,0),"ID inexistente"))</f>
      </c>
      <c r="D370" s="15">
        <f>IF($A370="","",MONTH($A370))</f>
      </c>
      <c r="E370" s="11"/>
      <c r="F370" s="7"/>
      <c r="G370" s="15"/>
      <c r="H370" s="15">
        <f>IF($F370="","",IF($G370="USD",$F370*TC,$F370))</f>
      </c>
      <c r="I370" s="19">
        <f>IF($F370="","",IF($G370="USD",$F370,$F370/TC))</f>
      </c>
      <c r="J370" s="11"/>
      <c r="K370" s="11"/>
      <c r="L370" s="11"/>
    </row>
    <row r="371" ht="22" customHeight="1" spans="1:12" x14ac:dyDescent="0.25">
      <c r="A371" s="16"/>
      <c r="B371" s="11"/>
      <c r="C371" s="11">
        <f>IF($B371="","",IFERROR(VLOOKUP($B371,Inquilinos!$A:$B,2,0),"ID inexistente"))</f>
      </c>
      <c r="D371" s="15">
        <f>IF($A371="","",MONTH($A371))</f>
      </c>
      <c r="E371" s="11"/>
      <c r="F371" s="7"/>
      <c r="G371" s="15"/>
      <c r="H371" s="15">
        <f>IF($F371="","",IF($G371="USD",$F371*TC,$F371))</f>
      </c>
      <c r="I371" s="19">
        <f>IF($F371="","",IF($G371="USD",$F371,$F371/TC))</f>
      </c>
      <c r="J371" s="11"/>
      <c r="K371" s="11"/>
      <c r="L371" s="11"/>
    </row>
    <row r="372" ht="22" customHeight="1" spans="1:12" x14ac:dyDescent="0.25">
      <c r="A372" s="16"/>
      <c r="B372" s="11"/>
      <c r="C372" s="11">
        <f>IF($B372="","",IFERROR(VLOOKUP($B372,Inquilinos!$A:$B,2,0),"ID inexistente"))</f>
      </c>
      <c r="D372" s="15">
        <f>IF($A372="","",MONTH($A372))</f>
      </c>
      <c r="E372" s="11"/>
      <c r="F372" s="7"/>
      <c r="G372" s="15"/>
      <c r="H372" s="15">
        <f>IF($F372="","",IF($G372="USD",$F372*TC,$F372))</f>
      </c>
      <c r="I372" s="19">
        <f>IF($F372="","",IF($G372="USD",$F372,$F372/TC))</f>
      </c>
      <c r="J372" s="11"/>
      <c r="K372" s="11"/>
      <c r="L372" s="11"/>
    </row>
    <row r="373" ht="22" customHeight="1" spans="1:12" x14ac:dyDescent="0.25">
      <c r="A373" s="16"/>
      <c r="B373" s="11"/>
      <c r="C373" s="11">
        <f>IF($B373="","",IFERROR(VLOOKUP($B373,Inquilinos!$A:$B,2,0),"ID inexistente"))</f>
      </c>
      <c r="D373" s="15">
        <f>IF($A373="","",MONTH($A373))</f>
      </c>
      <c r="E373" s="11"/>
      <c r="F373" s="7"/>
      <c r="G373" s="15"/>
      <c r="H373" s="15">
        <f>IF($F373="","",IF($G373="USD",$F373*TC,$F373))</f>
      </c>
      <c r="I373" s="19">
        <f>IF($F373="","",IF($G373="USD",$F373,$F373/TC))</f>
      </c>
      <c r="J373" s="11"/>
      <c r="K373" s="11"/>
      <c r="L373" s="11"/>
    </row>
    <row r="374" ht="22" customHeight="1" spans="1:12" x14ac:dyDescent="0.25">
      <c r="A374" s="16"/>
      <c r="B374" s="11"/>
      <c r="C374" s="11">
        <f>IF($B374="","",IFERROR(VLOOKUP($B374,Inquilinos!$A:$B,2,0),"ID inexistente"))</f>
      </c>
      <c r="D374" s="15">
        <f>IF($A374="","",MONTH($A374))</f>
      </c>
      <c r="E374" s="11"/>
      <c r="F374" s="7"/>
      <c r="G374" s="15"/>
      <c r="H374" s="15">
        <f>IF($F374="","",IF($G374="USD",$F374*TC,$F374))</f>
      </c>
      <c r="I374" s="19">
        <f>IF($F374="","",IF($G374="USD",$F374,$F374/TC))</f>
      </c>
      <c r="J374" s="11"/>
      <c r="K374" s="11"/>
      <c r="L374" s="11"/>
    </row>
    <row r="375" ht="22" customHeight="1" spans="1:12" x14ac:dyDescent="0.25">
      <c r="A375" s="16"/>
      <c r="B375" s="11"/>
      <c r="C375" s="11">
        <f>IF($B375="","",IFERROR(VLOOKUP($B375,Inquilinos!$A:$B,2,0),"ID inexistente"))</f>
      </c>
      <c r="D375" s="15">
        <f>IF($A375="","",MONTH($A375))</f>
      </c>
      <c r="E375" s="11"/>
      <c r="F375" s="7"/>
      <c r="G375" s="15"/>
      <c r="H375" s="15">
        <f>IF($F375="","",IF($G375="USD",$F375*TC,$F375))</f>
      </c>
      <c r="I375" s="19">
        <f>IF($F375="","",IF($G375="USD",$F375,$F375/TC))</f>
      </c>
      <c r="J375" s="11"/>
      <c r="K375" s="11"/>
      <c r="L375" s="11"/>
    </row>
    <row r="376" ht="22" customHeight="1" spans="1:12" x14ac:dyDescent="0.25">
      <c r="A376" s="16"/>
      <c r="B376" s="11"/>
      <c r="C376" s="11">
        <f>IF($B376="","",IFERROR(VLOOKUP($B376,Inquilinos!$A:$B,2,0),"ID inexistente"))</f>
      </c>
      <c r="D376" s="15">
        <f>IF($A376="","",MONTH($A376))</f>
      </c>
      <c r="E376" s="11"/>
      <c r="F376" s="7"/>
      <c r="G376" s="15"/>
      <c r="H376" s="15">
        <f>IF($F376="","",IF($G376="USD",$F376*TC,$F376))</f>
      </c>
      <c r="I376" s="19">
        <f>IF($F376="","",IF($G376="USD",$F376,$F376/TC))</f>
      </c>
      <c r="J376" s="11"/>
      <c r="K376" s="11"/>
      <c r="L376" s="11"/>
    </row>
    <row r="377" ht="22" customHeight="1" spans="1:12" x14ac:dyDescent="0.25">
      <c r="A377" s="16"/>
      <c r="B377" s="11"/>
      <c r="C377" s="11">
        <f>IF($B377="","",IFERROR(VLOOKUP($B377,Inquilinos!$A:$B,2,0),"ID inexistente"))</f>
      </c>
      <c r="D377" s="15">
        <f>IF($A377="","",MONTH($A377))</f>
      </c>
      <c r="E377" s="11"/>
      <c r="F377" s="7"/>
      <c r="G377" s="15"/>
      <c r="H377" s="15">
        <f>IF($F377="","",IF($G377="USD",$F377*TC,$F377))</f>
      </c>
      <c r="I377" s="19">
        <f>IF($F377="","",IF($G377="USD",$F377,$F377/TC))</f>
      </c>
      <c r="J377" s="11"/>
      <c r="K377" s="11"/>
      <c r="L377" s="11"/>
    </row>
    <row r="378" ht="22" customHeight="1" spans="1:12" x14ac:dyDescent="0.25">
      <c r="A378" s="16"/>
      <c r="B378" s="11"/>
      <c r="C378" s="11">
        <f>IF($B378="","",IFERROR(VLOOKUP($B378,Inquilinos!$A:$B,2,0),"ID inexistente"))</f>
      </c>
      <c r="D378" s="15">
        <f>IF($A378="","",MONTH($A378))</f>
      </c>
      <c r="E378" s="11"/>
      <c r="F378" s="7"/>
      <c r="G378" s="15"/>
      <c r="H378" s="15">
        <f>IF($F378="","",IF($G378="USD",$F378*TC,$F378))</f>
      </c>
      <c r="I378" s="19">
        <f>IF($F378="","",IF($G378="USD",$F378,$F378/TC))</f>
      </c>
      <c r="J378" s="11"/>
      <c r="K378" s="11"/>
      <c r="L378" s="11"/>
    </row>
    <row r="379" ht="22" customHeight="1" spans="1:12" x14ac:dyDescent="0.25">
      <c r="A379" s="16"/>
      <c r="B379" s="11"/>
      <c r="C379" s="11">
        <f>IF($B379="","",IFERROR(VLOOKUP($B379,Inquilinos!$A:$B,2,0),"ID inexistente"))</f>
      </c>
      <c r="D379" s="15">
        <f>IF($A379="","",MONTH($A379))</f>
      </c>
      <c r="E379" s="11"/>
      <c r="F379" s="7"/>
      <c r="G379" s="15"/>
      <c r="H379" s="15">
        <f>IF($F379="","",IF($G379="USD",$F379*TC,$F379))</f>
      </c>
      <c r="I379" s="19">
        <f>IF($F379="","",IF($G379="USD",$F379,$F379/TC))</f>
      </c>
      <c r="J379" s="11"/>
      <c r="K379" s="11"/>
      <c r="L379" s="11"/>
    </row>
    <row r="380" ht="22" customHeight="1" spans="1:12" x14ac:dyDescent="0.25">
      <c r="A380" s="16"/>
      <c r="B380" s="11"/>
      <c r="C380" s="11">
        <f>IF($B380="","",IFERROR(VLOOKUP($B380,Inquilinos!$A:$B,2,0),"ID inexistente"))</f>
      </c>
      <c r="D380" s="15">
        <f>IF($A380="","",MONTH($A380))</f>
      </c>
      <c r="E380" s="11"/>
      <c r="F380" s="7"/>
      <c r="G380" s="15"/>
      <c r="H380" s="15">
        <f>IF($F380="","",IF($G380="USD",$F380*TC,$F380))</f>
      </c>
      <c r="I380" s="19">
        <f>IF($F380="","",IF($G380="USD",$F380,$F380/TC))</f>
      </c>
      <c r="J380" s="11"/>
      <c r="K380" s="11"/>
      <c r="L380" s="11"/>
    </row>
    <row r="381" ht="22" customHeight="1" spans="1:12" x14ac:dyDescent="0.25">
      <c r="A381" s="16"/>
      <c r="B381" s="11"/>
      <c r="C381" s="11">
        <f>IF($B381="","",IFERROR(VLOOKUP($B381,Inquilinos!$A:$B,2,0),"ID inexistente"))</f>
      </c>
      <c r="D381" s="15">
        <f>IF($A381="","",MONTH($A381))</f>
      </c>
      <c r="E381" s="11"/>
      <c r="F381" s="7"/>
      <c r="G381" s="15"/>
      <c r="H381" s="15">
        <f>IF($F381="","",IF($G381="USD",$F381*TC,$F381))</f>
      </c>
      <c r="I381" s="19">
        <f>IF($F381="","",IF($G381="USD",$F381,$F381/TC))</f>
      </c>
      <c r="J381" s="11"/>
      <c r="K381" s="11"/>
      <c r="L381" s="11"/>
    </row>
    <row r="382" ht="22" customHeight="1" spans="1:12" x14ac:dyDescent="0.25">
      <c r="A382" s="16"/>
      <c r="B382" s="11"/>
      <c r="C382" s="11">
        <f>IF($B382="","",IFERROR(VLOOKUP($B382,Inquilinos!$A:$B,2,0),"ID inexistente"))</f>
      </c>
      <c r="D382" s="15">
        <f>IF($A382="","",MONTH($A382))</f>
      </c>
      <c r="E382" s="11"/>
      <c r="F382" s="7"/>
      <c r="G382" s="15"/>
      <c r="H382" s="15">
        <f>IF($F382="","",IF($G382="USD",$F382*TC,$F382))</f>
      </c>
      <c r="I382" s="19">
        <f>IF($F382="","",IF($G382="USD",$F382,$F382/TC))</f>
      </c>
      <c r="J382" s="11"/>
      <c r="K382" s="11"/>
      <c r="L382" s="11"/>
    </row>
    <row r="383" ht="22" customHeight="1" spans="1:12" x14ac:dyDescent="0.25">
      <c r="A383" s="16"/>
      <c r="B383" s="11"/>
      <c r="C383" s="11">
        <f>IF($B383="","",IFERROR(VLOOKUP($B383,Inquilinos!$A:$B,2,0),"ID inexistente"))</f>
      </c>
      <c r="D383" s="15">
        <f>IF($A383="","",MONTH($A383))</f>
      </c>
      <c r="E383" s="11"/>
      <c r="F383" s="7"/>
      <c r="G383" s="15"/>
      <c r="H383" s="15">
        <f>IF($F383="","",IF($G383="USD",$F383*TC,$F383))</f>
      </c>
      <c r="I383" s="19">
        <f>IF($F383="","",IF($G383="USD",$F383,$F383/TC))</f>
      </c>
      <c r="J383" s="11"/>
      <c r="K383" s="11"/>
      <c r="L383" s="11"/>
    </row>
    <row r="384" ht="22" customHeight="1" spans="1:12" x14ac:dyDescent="0.25">
      <c r="A384" s="16"/>
      <c r="B384" s="11"/>
      <c r="C384" s="11">
        <f>IF($B384="","",IFERROR(VLOOKUP($B384,Inquilinos!$A:$B,2,0),"ID inexistente"))</f>
      </c>
      <c r="D384" s="15">
        <f>IF($A384="","",MONTH($A384))</f>
      </c>
      <c r="E384" s="11"/>
      <c r="F384" s="7"/>
      <c r="G384" s="15"/>
      <c r="H384" s="15">
        <f>IF($F384="","",IF($G384="USD",$F384*TC,$F384))</f>
      </c>
      <c r="I384" s="19">
        <f>IF($F384="","",IF($G384="USD",$F384,$F384/TC))</f>
      </c>
      <c r="J384" s="11"/>
      <c r="K384" s="11"/>
      <c r="L384" s="11"/>
    </row>
    <row r="385" ht="22" customHeight="1" spans="1:12" x14ac:dyDescent="0.25">
      <c r="A385" s="16"/>
      <c r="B385" s="11"/>
      <c r="C385" s="11">
        <f>IF($B385="","",IFERROR(VLOOKUP($B385,Inquilinos!$A:$B,2,0),"ID inexistente"))</f>
      </c>
      <c r="D385" s="15">
        <f>IF($A385="","",MONTH($A385))</f>
      </c>
      <c r="E385" s="11"/>
      <c r="F385" s="7"/>
      <c r="G385" s="15"/>
      <c r="H385" s="15">
        <f>IF($F385="","",IF($G385="USD",$F385*TC,$F385))</f>
      </c>
      <c r="I385" s="19">
        <f>IF($F385="","",IF($G385="USD",$F385,$F385/TC))</f>
      </c>
      <c r="J385" s="11"/>
      <c r="K385" s="11"/>
      <c r="L385" s="11"/>
    </row>
    <row r="386" ht="22" customHeight="1" spans="1:12" x14ac:dyDescent="0.25">
      <c r="A386" s="16"/>
      <c r="B386" s="11"/>
      <c r="C386" s="11">
        <f>IF($B386="","",IFERROR(VLOOKUP($B386,Inquilinos!$A:$B,2,0),"ID inexistente"))</f>
      </c>
      <c r="D386" s="15">
        <f>IF($A386="","",MONTH($A386))</f>
      </c>
      <c r="E386" s="11"/>
      <c r="F386" s="7"/>
      <c r="G386" s="15"/>
      <c r="H386" s="15">
        <f>IF($F386="","",IF($G386="USD",$F386*TC,$F386))</f>
      </c>
      <c r="I386" s="19">
        <f>IF($F386="","",IF($G386="USD",$F386,$F386/TC))</f>
      </c>
      <c r="J386" s="11"/>
      <c r="K386" s="11"/>
      <c r="L386" s="11"/>
    </row>
    <row r="387" ht="22" customHeight="1" spans="1:12" x14ac:dyDescent="0.25">
      <c r="A387" s="16"/>
      <c r="B387" s="11"/>
      <c r="C387" s="11">
        <f>IF($B387="","",IFERROR(VLOOKUP($B387,Inquilinos!$A:$B,2,0),"ID inexistente"))</f>
      </c>
      <c r="D387" s="15">
        <f>IF($A387="","",MONTH($A387))</f>
      </c>
      <c r="E387" s="11"/>
      <c r="F387" s="7"/>
      <c r="G387" s="15"/>
      <c r="H387" s="15">
        <f>IF($F387="","",IF($G387="USD",$F387*TC,$F387))</f>
      </c>
      <c r="I387" s="19">
        <f>IF($F387="","",IF($G387="USD",$F387,$F387/TC))</f>
      </c>
      <c r="J387" s="11"/>
      <c r="K387" s="11"/>
      <c r="L387" s="11"/>
    </row>
    <row r="388" ht="22" customHeight="1" spans="1:12" x14ac:dyDescent="0.25">
      <c r="A388" s="16"/>
      <c r="B388" s="11"/>
      <c r="C388" s="11">
        <f>IF($B388="","",IFERROR(VLOOKUP($B388,Inquilinos!$A:$B,2,0),"ID inexistente"))</f>
      </c>
      <c r="D388" s="15">
        <f>IF($A388="","",MONTH($A388))</f>
      </c>
      <c r="E388" s="11"/>
      <c r="F388" s="7"/>
      <c r="G388" s="15"/>
      <c r="H388" s="15">
        <f>IF($F388="","",IF($G388="USD",$F388*TC,$F388))</f>
      </c>
      <c r="I388" s="19">
        <f>IF($F388="","",IF($G388="USD",$F388,$F388/TC))</f>
      </c>
      <c r="J388" s="11"/>
      <c r="K388" s="11"/>
      <c r="L388" s="11"/>
    </row>
    <row r="389" ht="22" customHeight="1" spans="1:12" x14ac:dyDescent="0.25">
      <c r="A389" s="16"/>
      <c r="B389" s="11"/>
      <c r="C389" s="11">
        <f>IF($B389="","",IFERROR(VLOOKUP($B389,Inquilinos!$A:$B,2,0),"ID inexistente"))</f>
      </c>
      <c r="D389" s="15">
        <f>IF($A389="","",MONTH($A389))</f>
      </c>
      <c r="E389" s="11"/>
      <c r="F389" s="7"/>
      <c r="G389" s="15"/>
      <c r="H389" s="15">
        <f>IF($F389="","",IF($G389="USD",$F389*TC,$F389))</f>
      </c>
      <c r="I389" s="19">
        <f>IF($F389="","",IF($G389="USD",$F389,$F389/TC))</f>
      </c>
      <c r="J389" s="11"/>
      <c r="K389" s="11"/>
      <c r="L389" s="11"/>
    </row>
    <row r="390" ht="22" customHeight="1" spans="1:12" x14ac:dyDescent="0.25">
      <c r="A390" s="16"/>
      <c r="B390" s="11"/>
      <c r="C390" s="11">
        <f>IF($B390="","",IFERROR(VLOOKUP($B390,Inquilinos!$A:$B,2,0),"ID inexistente"))</f>
      </c>
      <c r="D390" s="15">
        <f>IF($A390="","",MONTH($A390))</f>
      </c>
      <c r="E390" s="11"/>
      <c r="F390" s="7"/>
      <c r="G390" s="15"/>
      <c r="H390" s="15">
        <f>IF($F390="","",IF($G390="USD",$F390*TC,$F390))</f>
      </c>
      <c r="I390" s="19">
        <f>IF($F390="","",IF($G390="USD",$F390,$F390/TC))</f>
      </c>
      <c r="J390" s="11"/>
      <c r="K390" s="11"/>
      <c r="L390" s="11"/>
    </row>
    <row r="391" ht="22" customHeight="1" spans="1:12" x14ac:dyDescent="0.25">
      <c r="A391" s="16"/>
      <c r="B391" s="11"/>
      <c r="C391" s="11">
        <f>IF($B391="","",IFERROR(VLOOKUP($B391,Inquilinos!$A:$B,2,0),"ID inexistente"))</f>
      </c>
      <c r="D391" s="15">
        <f>IF($A391="","",MONTH($A391))</f>
      </c>
      <c r="E391" s="11"/>
      <c r="F391" s="7"/>
      <c r="G391" s="15"/>
      <c r="H391" s="15">
        <f>IF($F391="","",IF($G391="USD",$F391*TC,$F391))</f>
      </c>
      <c r="I391" s="19">
        <f>IF($F391="","",IF($G391="USD",$F391,$F391/TC))</f>
      </c>
      <c r="J391" s="11"/>
      <c r="K391" s="11"/>
      <c r="L391" s="11"/>
    </row>
    <row r="392" ht="22" customHeight="1" spans="1:12" x14ac:dyDescent="0.25">
      <c r="A392" s="16"/>
      <c r="B392" s="11"/>
      <c r="C392" s="11">
        <f>IF($B392="","",IFERROR(VLOOKUP($B392,Inquilinos!$A:$B,2,0),"ID inexistente"))</f>
      </c>
      <c r="D392" s="15">
        <f>IF($A392="","",MONTH($A392))</f>
      </c>
      <c r="E392" s="11"/>
      <c r="F392" s="7"/>
      <c r="G392" s="15"/>
      <c r="H392" s="15">
        <f>IF($F392="","",IF($G392="USD",$F392*TC,$F392))</f>
      </c>
      <c r="I392" s="19">
        <f>IF($F392="","",IF($G392="USD",$F392,$F392/TC))</f>
      </c>
      <c r="J392" s="11"/>
      <c r="K392" s="11"/>
      <c r="L392" s="11"/>
    </row>
    <row r="393" ht="22" customHeight="1" spans="1:12" x14ac:dyDescent="0.25">
      <c r="A393" s="16"/>
      <c r="B393" s="11"/>
      <c r="C393" s="11">
        <f>IF($B393="","",IFERROR(VLOOKUP($B393,Inquilinos!$A:$B,2,0),"ID inexistente"))</f>
      </c>
      <c r="D393" s="15">
        <f>IF($A393="","",MONTH($A393))</f>
      </c>
      <c r="E393" s="11"/>
      <c r="F393" s="7"/>
      <c r="G393" s="15"/>
      <c r="H393" s="15">
        <f>IF($F393="","",IF($G393="USD",$F393*TC,$F393))</f>
      </c>
      <c r="I393" s="19">
        <f>IF($F393="","",IF($G393="USD",$F393,$F393/TC))</f>
      </c>
      <c r="J393" s="11"/>
      <c r="K393" s="11"/>
      <c r="L393" s="11"/>
    </row>
    <row r="394" ht="22" customHeight="1" spans="1:12" x14ac:dyDescent="0.25">
      <c r="A394" s="16"/>
      <c r="B394" s="11"/>
      <c r="C394" s="11">
        <f>IF($B394="","",IFERROR(VLOOKUP($B394,Inquilinos!$A:$B,2,0),"ID inexistente"))</f>
      </c>
      <c r="D394" s="15">
        <f>IF($A394="","",MONTH($A394))</f>
      </c>
      <c r="E394" s="11"/>
      <c r="F394" s="7"/>
      <c r="G394" s="15"/>
      <c r="H394" s="15">
        <f>IF($F394="","",IF($G394="USD",$F394*TC,$F394))</f>
      </c>
      <c r="I394" s="19">
        <f>IF($F394="","",IF($G394="USD",$F394,$F394/TC))</f>
      </c>
      <c r="J394" s="11"/>
      <c r="K394" s="11"/>
      <c r="L394" s="11"/>
    </row>
    <row r="395" ht="22" customHeight="1" spans="1:12" x14ac:dyDescent="0.25">
      <c r="A395" s="16"/>
      <c r="B395" s="11"/>
      <c r="C395" s="11">
        <f>IF($B395="","",IFERROR(VLOOKUP($B395,Inquilinos!$A:$B,2,0),"ID inexistente"))</f>
      </c>
      <c r="D395" s="15">
        <f>IF($A395="","",MONTH($A395))</f>
      </c>
      <c r="E395" s="11"/>
      <c r="F395" s="7"/>
      <c r="G395" s="15"/>
      <c r="H395" s="15">
        <f>IF($F395="","",IF($G395="USD",$F395*TC,$F395))</f>
      </c>
      <c r="I395" s="19">
        <f>IF($F395="","",IF($G395="USD",$F395,$F395/TC))</f>
      </c>
      <c r="J395" s="11"/>
      <c r="K395" s="11"/>
      <c r="L395" s="11"/>
    </row>
    <row r="396" ht="22" customHeight="1" spans="1:12" x14ac:dyDescent="0.25">
      <c r="A396" s="16"/>
      <c r="B396" s="11"/>
      <c r="C396" s="11">
        <f>IF($B396="","",IFERROR(VLOOKUP($B396,Inquilinos!$A:$B,2,0),"ID inexistente"))</f>
      </c>
      <c r="D396" s="15">
        <f>IF($A396="","",MONTH($A396))</f>
      </c>
      <c r="E396" s="11"/>
      <c r="F396" s="7"/>
      <c r="G396" s="15"/>
      <c r="H396" s="15">
        <f>IF($F396="","",IF($G396="USD",$F396*TC,$F396))</f>
      </c>
      <c r="I396" s="19">
        <f>IF($F396="","",IF($G396="USD",$F396,$F396/TC))</f>
      </c>
      <c r="J396" s="11"/>
      <c r="K396" s="11"/>
      <c r="L396" s="11"/>
    </row>
    <row r="397" ht="22" customHeight="1" spans="1:12" x14ac:dyDescent="0.25">
      <c r="A397" s="16"/>
      <c r="B397" s="11"/>
      <c r="C397" s="11">
        <f>IF($B397="","",IFERROR(VLOOKUP($B397,Inquilinos!$A:$B,2,0),"ID inexistente"))</f>
      </c>
      <c r="D397" s="15">
        <f>IF($A397="","",MONTH($A397))</f>
      </c>
      <c r="E397" s="11"/>
      <c r="F397" s="7"/>
      <c r="G397" s="15"/>
      <c r="H397" s="15">
        <f>IF($F397="","",IF($G397="USD",$F397*TC,$F397))</f>
      </c>
      <c r="I397" s="19">
        <f>IF($F397="","",IF($G397="USD",$F397,$F397/TC))</f>
      </c>
      <c r="J397" s="11"/>
      <c r="K397" s="11"/>
      <c r="L397" s="11"/>
    </row>
    <row r="398" ht="22" customHeight="1" spans="1:12" x14ac:dyDescent="0.25">
      <c r="A398" s="16"/>
      <c r="B398" s="11"/>
      <c r="C398" s="11">
        <f>IF($B398="","",IFERROR(VLOOKUP($B398,Inquilinos!$A:$B,2,0),"ID inexistente"))</f>
      </c>
      <c r="D398" s="15">
        <f>IF($A398="","",MONTH($A398))</f>
      </c>
      <c r="E398" s="11"/>
      <c r="F398" s="7"/>
      <c r="G398" s="15"/>
      <c r="H398" s="15">
        <f>IF($F398="","",IF($G398="USD",$F398*TC,$F398))</f>
      </c>
      <c r="I398" s="19">
        <f>IF($F398="","",IF($G398="USD",$F398,$F398/TC))</f>
      </c>
      <c r="J398" s="11"/>
      <c r="K398" s="11"/>
      <c r="L398" s="11"/>
    </row>
    <row r="399" ht="22" customHeight="1" spans="1:12" x14ac:dyDescent="0.25">
      <c r="A399" s="16"/>
      <c r="B399" s="11"/>
      <c r="C399" s="11">
        <f>IF($B399="","",IFERROR(VLOOKUP($B399,Inquilinos!$A:$B,2,0),"ID inexistente"))</f>
      </c>
      <c r="D399" s="15">
        <f>IF($A399="","",MONTH($A399))</f>
      </c>
      <c r="E399" s="11"/>
      <c r="F399" s="7"/>
      <c r="G399" s="15"/>
      <c r="H399" s="15">
        <f>IF($F399="","",IF($G399="USD",$F399*TC,$F399))</f>
      </c>
      <c r="I399" s="19">
        <f>IF($F399="","",IF($G399="USD",$F399,$F399/TC))</f>
      </c>
      <c r="J399" s="11"/>
      <c r="K399" s="11"/>
      <c r="L399" s="11"/>
    </row>
    <row r="400" ht="22" customHeight="1" spans="1:12" x14ac:dyDescent="0.25">
      <c r="A400" s="16"/>
      <c r="B400" s="11"/>
      <c r="C400" s="11">
        <f>IF($B400="","",IFERROR(VLOOKUP($B400,Inquilinos!$A:$B,2,0),"ID inexistente"))</f>
      </c>
      <c r="D400" s="15">
        <f>IF($A400="","",MONTH($A400))</f>
      </c>
      <c r="E400" s="11"/>
      <c r="F400" s="7"/>
      <c r="G400" s="15"/>
      <c r="H400" s="15">
        <f>IF($F400="","",IF($G400="USD",$F400*TC,$F400))</f>
      </c>
      <c r="I400" s="19">
        <f>IF($F400="","",IF($G400="USD",$F400,$F400/TC))</f>
      </c>
      <c r="J400" s="11"/>
      <c r="K400" s="11"/>
      <c r="L400" s="11"/>
    </row>
    <row r="401" ht="22" customHeight="1" spans="1:12" x14ac:dyDescent="0.25">
      <c r="A401" s="16"/>
      <c r="B401" s="11"/>
      <c r="C401" s="11">
        <f>IF($B401="","",IFERROR(VLOOKUP($B401,Inquilinos!$A:$B,2,0),"ID inexistente"))</f>
      </c>
      <c r="D401" s="15">
        <f>IF($A401="","",MONTH($A401))</f>
      </c>
      <c r="E401" s="11"/>
      <c r="F401" s="7"/>
      <c r="G401" s="15"/>
      <c r="H401" s="15">
        <f>IF($F401="","",IF($G401="USD",$F401*TC,$F401))</f>
      </c>
      <c r="I401" s="19">
        <f>IF($F401="","",IF($G401="USD",$F401,$F401/TC))</f>
      </c>
      <c r="J401" s="11"/>
      <c r="K401" s="11"/>
      <c r="L401" s="11"/>
    </row>
    <row r="402" ht="22" customHeight="1" spans="1:12" x14ac:dyDescent="0.25">
      <c r="A402" s="16"/>
      <c r="B402" s="11"/>
      <c r="C402" s="11">
        <f>IF($B402="","",IFERROR(VLOOKUP($B402,Inquilinos!$A:$B,2,0),"ID inexistente"))</f>
      </c>
      <c r="D402" s="15">
        <f>IF($A402="","",MONTH($A402))</f>
      </c>
      <c r="E402" s="11"/>
      <c r="F402" s="7"/>
      <c r="G402" s="15"/>
      <c r="H402" s="15">
        <f>IF($F402="","",IF($G402="USD",$F402*TC,$F402))</f>
      </c>
      <c r="I402" s="19">
        <f>IF($F402="","",IF($G402="USD",$F402,$F402/TC))</f>
      </c>
      <c r="J402" s="11"/>
      <c r="K402" s="11"/>
      <c r="L402" s="11"/>
    </row>
    <row r="403" ht="22" customHeight="1" spans="1:12" x14ac:dyDescent="0.25">
      <c r="A403" s="16"/>
      <c r="B403" s="11"/>
      <c r="C403" s="11">
        <f>IF($B403="","",IFERROR(VLOOKUP($B403,Inquilinos!$A:$B,2,0),"ID inexistente"))</f>
      </c>
      <c r="D403" s="15">
        <f>IF($A403="","",MONTH($A403))</f>
      </c>
      <c r="E403" s="11"/>
      <c r="F403" s="7"/>
      <c r="G403" s="15"/>
      <c r="H403" s="15">
        <f>IF($F403="","",IF($G403="USD",$F403*TC,$F403))</f>
      </c>
      <c r="I403" s="19">
        <f>IF($F403="","",IF($G403="USD",$F403,$F403/TC))</f>
      </c>
      <c r="J403" s="11"/>
      <c r="K403" s="11"/>
      <c r="L403" s="11"/>
    </row>
    <row r="404" ht="22" customHeight="1" spans="1:12" x14ac:dyDescent="0.25">
      <c r="A404" s="16"/>
      <c r="B404" s="11"/>
      <c r="C404" s="11">
        <f>IF($B404="","",IFERROR(VLOOKUP($B404,Inquilinos!$A:$B,2,0),"ID inexistente"))</f>
      </c>
      <c r="D404" s="15">
        <f>IF($A404="","",MONTH($A404))</f>
      </c>
      <c r="E404" s="11"/>
      <c r="F404" s="7"/>
      <c r="G404" s="15"/>
      <c r="H404" s="15">
        <f>IF($F404="","",IF($G404="USD",$F404*TC,$F404))</f>
      </c>
      <c r="I404" s="19">
        <f>IF($F404="","",IF($G404="USD",$F404,$F404/TC))</f>
      </c>
      <c r="J404" s="11"/>
      <c r="K404" s="11"/>
      <c r="L404" s="11"/>
    </row>
    <row r="405" ht="22" customHeight="1" spans="1:12" x14ac:dyDescent="0.25">
      <c r="A405" s="15"/>
      <c r="B405" s="15"/>
      <c r="C405" s="15"/>
      <c r="D405" s="15"/>
      <c r="E405" s="11" t="s">
        <v>181</v>
      </c>
      <c r="F405" s="15"/>
      <c r="G405" s="15"/>
      <c r="H405" s="15">
        <f>SUM(H5:H404)</f>
      </c>
      <c r="I405" s="19">
        <f>SUM(I5:I404)</f>
      </c>
      <c r="J405" s="15"/>
      <c r="K405" s="15"/>
      <c r="L405" s="15"/>
    </row>
  </sheetData>
  <mergeCells count="2">
    <mergeCell ref="A1:L1"/>
    <mergeCell ref="A2:L2"/>
  </mergeCells>
  <dataValidations count="8">
    <dataValidation type="whole" allowBlank="1" sqref="B10:B404">
      <formula1>1</formula1>
      <formula2>29</formula2>
    </dataValidation>
    <dataValidation type="whole" allowBlank="1" sqref="B5:B404">
      <formula1>1</formula1>
      <formula2>29</formula2>
    </dataValidation>
    <dataValidation type="list" allowBlank="1" sqref="G10:G404">
      <formula1>=Monedas</formula1>
    </dataValidation>
    <dataValidation type="list" allowBlank="1" sqref="G5:G404">
      <formula1>=Monedas</formula1>
    </dataValidation>
    <dataValidation type="list" allowBlank="1" sqref="J10:J404">
      <formula1>=Medios</formula1>
    </dataValidation>
    <dataValidation type="list" allowBlank="1" sqref="J5:J404">
      <formula1>=Medios</formula1>
    </dataValidation>
    <dataValidation type="list" allowBlank="1" sqref="K10:K404">
      <formula1>=EstadosCobro</formula1>
    </dataValidation>
    <dataValidation type="list" allowBlank="1" sqref="K5:K404">
      <formula1>=EstadosCobro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405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0"/>
  <cols>
    <col min="1" max="1" width="13" customWidth="1"/>
    <col min="2" max="2" width="7" customWidth="1"/>
    <col min="3" max="3" width="11" customWidth="1"/>
    <col min="4" max="4" width="12" customWidth="1"/>
    <col min="5" max="5" width="22" customWidth="1"/>
    <col min="6" max="6" width="26" customWidth="1"/>
    <col min="7" max="7" width="14" customWidth="1"/>
    <col min="9" max="10" width="16" customWidth="1"/>
    <col min="11" max="11" width="22" customWidth="1"/>
  </cols>
  <sheetData>
    <row r="1" ht="28" customHeight="1" spans="1:11" x14ac:dyDescent="0.25">
      <c r="A1" s="5" t="s">
        <v>182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18" customHeight="1" spans="1:11" x14ac:dyDescent="0.25">
      <c r="A2" s="6" t="s">
        <v>183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ht="26" customHeight="1" spans="1:11" x14ac:dyDescent="0.25">
      <c r="A4" s="11" t="s">
        <v>184</v>
      </c>
      <c r="B4" s="11" t="s">
        <v>175</v>
      </c>
      <c r="C4" s="11" t="s">
        <v>185</v>
      </c>
      <c r="D4" s="11" t="s">
        <v>186</v>
      </c>
      <c r="E4" s="11" t="s">
        <v>187</v>
      </c>
      <c r="F4" s="11" t="s">
        <v>188</v>
      </c>
      <c r="G4" s="11" t="s">
        <v>177</v>
      </c>
      <c r="H4" s="11" t="s">
        <v>103</v>
      </c>
      <c r="I4" s="11" t="s">
        <v>178</v>
      </c>
      <c r="J4" s="11" t="s">
        <v>180</v>
      </c>
      <c r="K4" s="11" t="s">
        <v>110</v>
      </c>
    </row>
    <row r="5" ht="22" customHeight="1" spans="1:11" x14ac:dyDescent="0.25">
      <c r="A5" s="16"/>
      <c r="B5" s="15"/>
      <c r="C5" s="15"/>
      <c r="D5" s="11"/>
      <c r="E5" s="11"/>
      <c r="F5" s="11"/>
      <c r="G5" s="7"/>
      <c r="H5" s="15"/>
      <c r="I5" s="15"/>
      <c r="J5" s="11"/>
      <c r="K5" s="11"/>
    </row>
    <row r="6" ht="22" customHeight="1" spans="1:11" x14ac:dyDescent="0.25">
      <c r="A6" s="16"/>
      <c r="B6" s="15"/>
      <c r="C6" s="15"/>
      <c r="D6" s="11"/>
      <c r="E6" s="11"/>
      <c r="F6" s="11"/>
      <c r="G6" s="7"/>
      <c r="H6" s="15"/>
      <c r="I6" s="15"/>
      <c r="J6" s="11"/>
      <c r="K6" s="11"/>
    </row>
    <row r="7" ht="22" customHeight="1" spans="1:11" x14ac:dyDescent="0.25">
      <c r="A7" s="16"/>
      <c r="B7" s="15"/>
      <c r="C7" s="15"/>
      <c r="D7" s="11"/>
      <c r="E7" s="11"/>
      <c r="F7" s="11"/>
      <c r="G7" s="7"/>
      <c r="H7" s="15"/>
      <c r="I7" s="15"/>
      <c r="J7" s="11"/>
      <c r="K7" s="11"/>
    </row>
    <row r="8" ht="22" customHeight="1" spans="1:11" x14ac:dyDescent="0.25">
      <c r="A8" s="16"/>
      <c r="B8" s="15"/>
      <c r="C8" s="15"/>
      <c r="D8" s="11"/>
      <c r="E8" s="11"/>
      <c r="F8" s="11"/>
      <c r="G8" s="7"/>
      <c r="H8" s="15"/>
      <c r="I8" s="15"/>
      <c r="J8" s="11"/>
      <c r="K8" s="11"/>
    </row>
    <row r="9" ht="22" customHeight="1" spans="1:11" x14ac:dyDescent="0.25">
      <c r="A9" s="16"/>
      <c r="B9" s="15"/>
      <c r="C9" s="15"/>
      <c r="D9" s="11"/>
      <c r="E9" s="11"/>
      <c r="F9" s="11"/>
      <c r="G9" s="7"/>
      <c r="H9" s="15"/>
      <c r="I9" s="15"/>
      <c r="J9" s="11"/>
      <c r="K9" s="11"/>
    </row>
    <row r="10" ht="22" customHeight="1" spans="1:11" x14ac:dyDescent="0.25">
      <c r="A10" s="16"/>
      <c r="B10" s="15"/>
      <c r="C10" s="15"/>
      <c r="D10" s="11"/>
      <c r="E10" s="11"/>
      <c r="F10" s="11"/>
      <c r="G10" s="7"/>
      <c r="H10" s="15"/>
      <c r="I10" s="15"/>
      <c r="J10" s="11"/>
      <c r="K10" s="11"/>
    </row>
    <row r="11" ht="22" customHeight="1" spans="1:11" x14ac:dyDescent="0.25">
      <c r="A11" s="16"/>
      <c r="B11" s="15"/>
      <c r="C11" s="15"/>
      <c r="D11" s="11"/>
      <c r="E11" s="11"/>
      <c r="F11" s="11"/>
      <c r="G11" s="7"/>
      <c r="H11" s="15"/>
      <c r="I11" s="15"/>
      <c r="J11" s="11"/>
      <c r="K11" s="11"/>
    </row>
    <row r="12" ht="22" customHeight="1" spans="1:11" x14ac:dyDescent="0.25">
      <c r="A12" s="16"/>
      <c r="B12" s="15"/>
      <c r="C12" s="15"/>
      <c r="D12" s="11"/>
      <c r="E12" s="11"/>
      <c r="F12" s="11"/>
      <c r="G12" s="7"/>
      <c r="H12" s="15"/>
      <c r="I12" s="15"/>
      <c r="J12" s="11"/>
      <c r="K12" s="11"/>
    </row>
    <row r="13" ht="22" customHeight="1" spans="1:11" x14ac:dyDescent="0.25">
      <c r="A13" s="16"/>
      <c r="B13" s="15"/>
      <c r="C13" s="15"/>
      <c r="D13" s="11"/>
      <c r="E13" s="11"/>
      <c r="F13" s="11"/>
      <c r="G13" s="7"/>
      <c r="H13" s="15"/>
      <c r="I13" s="15"/>
      <c r="J13" s="11"/>
      <c r="K13" s="11"/>
    </row>
    <row r="14" ht="22" customHeight="1" spans="1:11" x14ac:dyDescent="0.25">
      <c r="A14" s="16"/>
      <c r="B14" s="15"/>
      <c r="C14" s="15"/>
      <c r="D14" s="11"/>
      <c r="E14" s="11"/>
      <c r="F14" s="11"/>
      <c r="G14" s="7"/>
      <c r="H14" s="15"/>
      <c r="I14" s="15"/>
      <c r="J14" s="11"/>
      <c r="K14" s="11"/>
    </row>
    <row r="15" ht="22" customHeight="1" spans="1:11" x14ac:dyDescent="0.25">
      <c r="A15" s="16"/>
      <c r="B15" s="15"/>
      <c r="C15" s="15"/>
      <c r="D15" s="11"/>
      <c r="E15" s="11"/>
      <c r="F15" s="11"/>
      <c r="G15" s="7"/>
      <c r="H15" s="15"/>
      <c r="I15" s="15"/>
      <c r="J15" s="11"/>
      <c r="K15" s="11"/>
    </row>
    <row r="16" ht="22" customHeight="1" spans="1:11" x14ac:dyDescent="0.25">
      <c r="A16" s="16"/>
      <c r="B16" s="15"/>
      <c r="C16" s="15"/>
      <c r="D16" s="11"/>
      <c r="E16" s="11"/>
      <c r="F16" s="11"/>
      <c r="G16" s="7"/>
      <c r="H16" s="15"/>
      <c r="I16" s="15"/>
      <c r="J16" s="11"/>
      <c r="K16" s="11"/>
    </row>
    <row r="17" ht="22" customHeight="1" spans="1:11" x14ac:dyDescent="0.25">
      <c r="A17" s="16"/>
      <c r="B17" s="15"/>
      <c r="C17" s="15"/>
      <c r="D17" s="11"/>
      <c r="E17" s="11"/>
      <c r="F17" s="11"/>
      <c r="G17" s="7"/>
      <c r="H17" s="15"/>
      <c r="I17" s="15"/>
      <c r="J17" s="11"/>
      <c r="K17" s="11"/>
    </row>
    <row r="18" ht="22" customHeight="1" spans="1:11" x14ac:dyDescent="0.25">
      <c r="A18" s="16"/>
      <c r="B18" s="15"/>
      <c r="C18" s="15"/>
      <c r="D18" s="11"/>
      <c r="E18" s="11"/>
      <c r="F18" s="11"/>
      <c r="G18" s="7"/>
      <c r="H18" s="15"/>
      <c r="I18" s="15"/>
      <c r="J18" s="11"/>
      <c r="K18" s="11"/>
    </row>
    <row r="19" ht="22" customHeight="1" spans="1:11" x14ac:dyDescent="0.25">
      <c r="A19" s="16"/>
      <c r="B19" s="15"/>
      <c r="C19" s="15"/>
      <c r="D19" s="11"/>
      <c r="E19" s="11"/>
      <c r="F19" s="11"/>
      <c r="G19" s="7"/>
      <c r="H19" s="15"/>
      <c r="I19" s="15"/>
      <c r="J19" s="11"/>
      <c r="K19" s="11"/>
    </row>
    <row r="20" ht="22" customHeight="1" spans="1:11" x14ac:dyDescent="0.25">
      <c r="A20" s="16"/>
      <c r="B20" s="15"/>
      <c r="C20" s="15"/>
      <c r="D20" s="11"/>
      <c r="E20" s="11"/>
      <c r="F20" s="11"/>
      <c r="G20" s="7"/>
      <c r="H20" s="15"/>
      <c r="I20" s="15"/>
      <c r="J20" s="11"/>
      <c r="K20" s="11"/>
    </row>
    <row r="21" ht="22" customHeight="1" spans="1:11" x14ac:dyDescent="0.25">
      <c r="A21" s="16"/>
      <c r="B21" s="15"/>
      <c r="C21" s="15"/>
      <c r="D21" s="11"/>
      <c r="E21" s="11"/>
      <c r="F21" s="11"/>
      <c r="G21" s="7"/>
      <c r="H21" s="15"/>
      <c r="I21" s="15"/>
      <c r="J21" s="11"/>
      <c r="K21" s="11"/>
    </row>
    <row r="22" ht="22" customHeight="1" spans="1:11" x14ac:dyDescent="0.25">
      <c r="A22" s="16"/>
      <c r="B22" s="15"/>
      <c r="C22" s="15"/>
      <c r="D22" s="11"/>
      <c r="E22" s="11"/>
      <c r="F22" s="11"/>
      <c r="G22" s="7"/>
      <c r="H22" s="15"/>
      <c r="I22" s="15"/>
      <c r="J22" s="11"/>
      <c r="K22" s="11"/>
    </row>
    <row r="23" ht="22" customHeight="1" spans="1:11" x14ac:dyDescent="0.25">
      <c r="A23" s="16"/>
      <c r="B23" s="15"/>
      <c r="C23" s="15"/>
      <c r="D23" s="11"/>
      <c r="E23" s="11"/>
      <c r="F23" s="11"/>
      <c r="G23" s="7"/>
      <c r="H23" s="15"/>
      <c r="I23" s="15"/>
      <c r="J23" s="11"/>
      <c r="K23" s="11"/>
    </row>
    <row r="24" ht="22" customHeight="1" spans="1:11" x14ac:dyDescent="0.25">
      <c r="A24" s="16"/>
      <c r="B24" s="15"/>
      <c r="C24" s="15"/>
      <c r="D24" s="11"/>
      <c r="E24" s="11"/>
      <c r="F24" s="11"/>
      <c r="G24" s="7"/>
      <c r="H24" s="15"/>
      <c r="I24" s="15"/>
      <c r="J24" s="11"/>
      <c r="K24" s="11"/>
    </row>
    <row r="25" ht="22" customHeight="1" spans="1:11" x14ac:dyDescent="0.25">
      <c r="A25" s="16"/>
      <c r="B25" s="15"/>
      <c r="C25" s="15"/>
      <c r="D25" s="11"/>
      <c r="E25" s="11"/>
      <c r="F25" s="11"/>
      <c r="G25" s="7"/>
      <c r="H25" s="15"/>
      <c r="I25" s="15"/>
      <c r="J25" s="11"/>
      <c r="K25" s="11"/>
    </row>
    <row r="26" ht="22" customHeight="1" spans="1:11" x14ac:dyDescent="0.25">
      <c r="A26" s="16"/>
      <c r="B26" s="15"/>
      <c r="C26" s="15"/>
      <c r="D26" s="11"/>
      <c r="E26" s="11"/>
      <c r="F26" s="11"/>
      <c r="G26" s="7"/>
      <c r="H26" s="15"/>
      <c r="I26" s="15"/>
      <c r="J26" s="11"/>
      <c r="K26" s="11"/>
    </row>
    <row r="27" ht="22" customHeight="1" spans="1:11" x14ac:dyDescent="0.25">
      <c r="A27" s="16"/>
      <c r="B27" s="15"/>
      <c r="C27" s="15"/>
      <c r="D27" s="11"/>
      <c r="E27" s="11"/>
      <c r="F27" s="11"/>
      <c r="G27" s="7"/>
      <c r="H27" s="15"/>
      <c r="I27" s="15"/>
      <c r="J27" s="11"/>
      <c r="K27" s="11"/>
    </row>
    <row r="28" ht="22" customHeight="1" spans="1:11" x14ac:dyDescent="0.25">
      <c r="A28" s="16"/>
      <c r="B28" s="15"/>
      <c r="C28" s="15"/>
      <c r="D28" s="11"/>
      <c r="E28" s="11"/>
      <c r="F28" s="11"/>
      <c r="G28" s="7"/>
      <c r="H28" s="15"/>
      <c r="I28" s="15"/>
      <c r="J28" s="11"/>
      <c r="K28" s="11"/>
    </row>
    <row r="29" ht="22" customHeight="1" spans="1:11" x14ac:dyDescent="0.25">
      <c r="A29" s="16"/>
      <c r="B29" s="15"/>
      <c r="C29" s="15"/>
      <c r="D29" s="11"/>
      <c r="E29" s="11"/>
      <c r="F29" s="11"/>
      <c r="G29" s="7"/>
      <c r="H29" s="15"/>
      <c r="I29" s="15"/>
      <c r="J29" s="11"/>
      <c r="K29" s="11"/>
    </row>
    <row r="30" ht="22" customHeight="1" spans="1:11" x14ac:dyDescent="0.25">
      <c r="A30" s="16"/>
      <c r="B30" s="15"/>
      <c r="C30" s="15"/>
      <c r="D30" s="11"/>
      <c r="E30" s="11"/>
      <c r="F30" s="11"/>
      <c r="G30" s="7"/>
      <c r="H30" s="15"/>
      <c r="I30" s="15"/>
      <c r="J30" s="11"/>
      <c r="K30" s="11"/>
    </row>
    <row r="31" ht="22" customHeight="1" spans="1:11" x14ac:dyDescent="0.25">
      <c r="A31" s="16"/>
      <c r="B31" s="15"/>
      <c r="C31" s="15"/>
      <c r="D31" s="11"/>
      <c r="E31" s="11"/>
      <c r="F31" s="11"/>
      <c r="G31" s="7"/>
      <c r="H31" s="15"/>
      <c r="I31" s="15"/>
      <c r="J31" s="11"/>
      <c r="K31" s="11"/>
    </row>
    <row r="32" ht="22" customHeight="1" spans="1:11" x14ac:dyDescent="0.25">
      <c r="A32" s="16"/>
      <c r="B32" s="15"/>
      <c r="C32" s="15"/>
      <c r="D32" s="11"/>
      <c r="E32" s="11"/>
      <c r="F32" s="11"/>
      <c r="G32" s="7"/>
      <c r="H32" s="15"/>
      <c r="I32" s="15"/>
      <c r="J32" s="11"/>
      <c r="K32" s="11"/>
    </row>
    <row r="33" ht="22" customHeight="1" spans="1:11" x14ac:dyDescent="0.25">
      <c r="A33" s="16"/>
      <c r="B33" s="15"/>
      <c r="C33" s="15"/>
      <c r="D33" s="11"/>
      <c r="E33" s="11"/>
      <c r="F33" s="11"/>
      <c r="G33" s="7"/>
      <c r="H33" s="15"/>
      <c r="I33" s="15"/>
      <c r="J33" s="11"/>
      <c r="K33" s="11"/>
    </row>
    <row r="34" ht="22" customHeight="1" spans="1:11" x14ac:dyDescent="0.25">
      <c r="A34" s="16"/>
      <c r="B34" s="15"/>
      <c r="C34" s="15"/>
      <c r="D34" s="11"/>
      <c r="E34" s="11"/>
      <c r="F34" s="11"/>
      <c r="G34" s="7"/>
      <c r="H34" s="15"/>
      <c r="I34" s="15"/>
      <c r="J34" s="11"/>
      <c r="K34" s="11"/>
    </row>
    <row r="35" ht="22" customHeight="1" spans="1:11" x14ac:dyDescent="0.25">
      <c r="A35" s="16"/>
      <c r="B35" s="15"/>
      <c r="C35" s="15"/>
      <c r="D35" s="11"/>
      <c r="E35" s="11"/>
      <c r="F35" s="11"/>
      <c r="G35" s="7"/>
      <c r="H35" s="15"/>
      <c r="I35" s="15"/>
      <c r="J35" s="11"/>
      <c r="K35" s="11"/>
    </row>
    <row r="36" ht="22" customHeight="1" spans="1:11" x14ac:dyDescent="0.25">
      <c r="A36" s="16"/>
      <c r="B36" s="15"/>
      <c r="C36" s="15"/>
      <c r="D36" s="11"/>
      <c r="E36" s="11"/>
      <c r="F36" s="11"/>
      <c r="G36" s="7"/>
      <c r="H36" s="15"/>
      <c r="I36" s="15"/>
      <c r="J36" s="11"/>
      <c r="K36" s="11"/>
    </row>
    <row r="37" ht="22" customHeight="1" spans="1:11" x14ac:dyDescent="0.25">
      <c r="A37" s="16"/>
      <c r="B37" s="15"/>
      <c r="C37" s="15"/>
      <c r="D37" s="11"/>
      <c r="E37" s="11"/>
      <c r="F37" s="11"/>
      <c r="G37" s="7"/>
      <c r="H37" s="15"/>
      <c r="I37" s="15"/>
      <c r="J37" s="11"/>
      <c r="K37" s="11"/>
    </row>
    <row r="38" ht="22" customHeight="1" spans="1:11" x14ac:dyDescent="0.25">
      <c r="A38" s="16"/>
      <c r="B38" s="15"/>
      <c r="C38" s="15"/>
      <c r="D38" s="11"/>
      <c r="E38" s="11"/>
      <c r="F38" s="11"/>
      <c r="G38" s="7"/>
      <c r="H38" s="15"/>
      <c r="I38" s="15"/>
      <c r="J38" s="11"/>
      <c r="K38" s="11"/>
    </row>
    <row r="39" ht="22" customHeight="1" spans="1:11" x14ac:dyDescent="0.25">
      <c r="A39" s="16"/>
      <c r="B39" s="15"/>
      <c r="C39" s="15"/>
      <c r="D39" s="11"/>
      <c r="E39" s="11"/>
      <c r="F39" s="11"/>
      <c r="G39" s="7"/>
      <c r="H39" s="15"/>
      <c r="I39" s="15"/>
      <c r="J39" s="11"/>
      <c r="K39" s="11"/>
    </row>
    <row r="40" ht="22" customHeight="1" spans="1:11" x14ac:dyDescent="0.25">
      <c r="A40" s="16"/>
      <c r="B40" s="15"/>
      <c r="C40" s="15"/>
      <c r="D40" s="11"/>
      <c r="E40" s="11"/>
      <c r="F40" s="11"/>
      <c r="G40" s="7"/>
      <c r="H40" s="15"/>
      <c r="I40" s="15"/>
      <c r="J40" s="11"/>
      <c r="K40" s="11"/>
    </row>
    <row r="41" ht="22" customHeight="1" spans="1:11" x14ac:dyDescent="0.25">
      <c r="A41" s="16"/>
      <c r="B41" s="15"/>
      <c r="C41" s="15"/>
      <c r="D41" s="11"/>
      <c r="E41" s="11"/>
      <c r="F41" s="11"/>
      <c r="G41" s="7"/>
      <c r="H41" s="15"/>
      <c r="I41" s="15"/>
      <c r="J41" s="11"/>
      <c r="K41" s="11"/>
    </row>
    <row r="42" ht="22" customHeight="1" spans="1:11" x14ac:dyDescent="0.25">
      <c r="A42" s="16"/>
      <c r="B42" s="15"/>
      <c r="C42" s="15"/>
      <c r="D42" s="11"/>
      <c r="E42" s="11"/>
      <c r="F42" s="11"/>
      <c r="G42" s="7"/>
      <c r="H42" s="15"/>
      <c r="I42" s="15"/>
      <c r="J42" s="11"/>
      <c r="K42" s="11"/>
    </row>
    <row r="43" ht="22" customHeight="1" spans="1:11" x14ac:dyDescent="0.25">
      <c r="A43" s="16"/>
      <c r="B43" s="15"/>
      <c r="C43" s="15"/>
      <c r="D43" s="11"/>
      <c r="E43" s="11"/>
      <c r="F43" s="11"/>
      <c r="G43" s="7"/>
      <c r="H43" s="15"/>
      <c r="I43" s="15"/>
      <c r="J43" s="11"/>
      <c r="K43" s="11"/>
    </row>
    <row r="44" ht="22" customHeight="1" spans="1:11" x14ac:dyDescent="0.25">
      <c r="A44" s="16"/>
      <c r="B44" s="15"/>
      <c r="C44" s="15"/>
      <c r="D44" s="11"/>
      <c r="E44" s="11"/>
      <c r="F44" s="11"/>
      <c r="G44" s="7"/>
      <c r="H44" s="15"/>
      <c r="I44" s="15"/>
      <c r="J44" s="11"/>
      <c r="K44" s="11"/>
    </row>
    <row r="45" ht="22" customHeight="1" spans="1:11" x14ac:dyDescent="0.25">
      <c r="A45" s="16"/>
      <c r="B45" s="15"/>
      <c r="C45" s="15"/>
      <c r="D45" s="11"/>
      <c r="E45" s="11"/>
      <c r="F45" s="11"/>
      <c r="G45" s="7"/>
      <c r="H45" s="15"/>
      <c r="I45" s="15"/>
      <c r="J45" s="11"/>
      <c r="K45" s="11"/>
    </row>
    <row r="46" ht="22" customHeight="1" spans="1:11" x14ac:dyDescent="0.25">
      <c r="A46" s="16"/>
      <c r="B46" s="15"/>
      <c r="C46" s="15"/>
      <c r="D46" s="11"/>
      <c r="E46" s="11"/>
      <c r="F46" s="11"/>
      <c r="G46" s="7"/>
      <c r="H46" s="15"/>
      <c r="I46" s="15"/>
      <c r="J46" s="11"/>
      <c r="K46" s="11"/>
    </row>
    <row r="47" ht="22" customHeight="1" spans="1:11" x14ac:dyDescent="0.25">
      <c r="A47" s="16"/>
      <c r="B47" s="15"/>
      <c r="C47" s="15"/>
      <c r="D47" s="11"/>
      <c r="E47" s="11"/>
      <c r="F47" s="11"/>
      <c r="G47" s="7"/>
      <c r="H47" s="15"/>
      <c r="I47" s="15"/>
      <c r="J47" s="11"/>
      <c r="K47" s="11"/>
    </row>
    <row r="48" ht="22" customHeight="1" spans="1:11" x14ac:dyDescent="0.25">
      <c r="A48" s="16"/>
      <c r="B48" s="15"/>
      <c r="C48" s="15"/>
      <c r="D48" s="11"/>
      <c r="E48" s="11"/>
      <c r="F48" s="11"/>
      <c r="G48" s="7"/>
      <c r="H48" s="15"/>
      <c r="I48" s="15"/>
      <c r="J48" s="11"/>
      <c r="K48" s="11"/>
    </row>
    <row r="49" ht="22" customHeight="1" spans="1:11" x14ac:dyDescent="0.25">
      <c r="A49" s="16"/>
      <c r="B49" s="15"/>
      <c r="C49" s="15"/>
      <c r="D49" s="11"/>
      <c r="E49" s="11"/>
      <c r="F49" s="11"/>
      <c r="G49" s="7"/>
      <c r="H49" s="15"/>
      <c r="I49" s="15"/>
      <c r="J49" s="11"/>
      <c r="K49" s="11"/>
    </row>
    <row r="50" ht="22" customHeight="1" spans="1:11" x14ac:dyDescent="0.25">
      <c r="A50" s="16"/>
      <c r="B50" s="15"/>
      <c r="C50" s="15"/>
      <c r="D50" s="11"/>
      <c r="E50" s="11"/>
      <c r="F50" s="11"/>
      <c r="G50" s="7"/>
      <c r="H50" s="15"/>
      <c r="I50" s="15"/>
      <c r="J50" s="11"/>
      <c r="K50" s="11"/>
    </row>
    <row r="51" ht="22" customHeight="1" spans="1:11" x14ac:dyDescent="0.25">
      <c r="A51" s="16"/>
      <c r="B51" s="15"/>
      <c r="C51" s="15"/>
      <c r="D51" s="11"/>
      <c r="E51" s="11"/>
      <c r="F51" s="11"/>
      <c r="G51" s="7"/>
      <c r="H51" s="15"/>
      <c r="I51" s="15"/>
      <c r="J51" s="11"/>
      <c r="K51" s="11"/>
    </row>
    <row r="52" ht="22" customHeight="1" spans="1:11" x14ac:dyDescent="0.25">
      <c r="A52" s="16"/>
      <c r="B52" s="15"/>
      <c r="C52" s="15"/>
      <c r="D52" s="11"/>
      <c r="E52" s="11"/>
      <c r="F52" s="11"/>
      <c r="G52" s="7"/>
      <c r="H52" s="15"/>
      <c r="I52" s="15"/>
      <c r="J52" s="11"/>
      <c r="K52" s="11"/>
    </row>
    <row r="53" ht="22" customHeight="1" spans="1:11" x14ac:dyDescent="0.25">
      <c r="A53" s="16"/>
      <c r="B53" s="15"/>
      <c r="C53" s="15"/>
      <c r="D53" s="11"/>
      <c r="E53" s="11"/>
      <c r="F53" s="11"/>
      <c r="G53" s="7"/>
      <c r="H53" s="15"/>
      <c r="I53" s="15"/>
      <c r="J53" s="11"/>
      <c r="K53" s="11"/>
    </row>
    <row r="54" ht="22" customHeight="1" spans="1:11" x14ac:dyDescent="0.25">
      <c r="A54" s="16"/>
      <c r="B54" s="15"/>
      <c r="C54" s="15"/>
      <c r="D54" s="11"/>
      <c r="E54" s="11"/>
      <c r="F54" s="11"/>
      <c r="G54" s="7"/>
      <c r="H54" s="15"/>
      <c r="I54" s="15"/>
      <c r="J54" s="11"/>
      <c r="K54" s="11"/>
    </row>
    <row r="55" ht="22" customHeight="1" spans="1:11" x14ac:dyDescent="0.25">
      <c r="A55" s="16"/>
      <c r="B55" s="15"/>
      <c r="C55" s="15"/>
      <c r="D55" s="11"/>
      <c r="E55" s="11"/>
      <c r="F55" s="11"/>
      <c r="G55" s="7"/>
      <c r="H55" s="15"/>
      <c r="I55" s="15"/>
      <c r="J55" s="11"/>
      <c r="K55" s="11"/>
    </row>
    <row r="56" ht="22" customHeight="1" spans="1:11" x14ac:dyDescent="0.25">
      <c r="A56" s="16"/>
      <c r="B56" s="15"/>
      <c r="C56" s="15"/>
      <c r="D56" s="11"/>
      <c r="E56" s="11"/>
      <c r="F56" s="11"/>
      <c r="G56" s="7"/>
      <c r="H56" s="15"/>
      <c r="I56" s="15"/>
      <c r="J56" s="11"/>
      <c r="K56" s="11"/>
    </row>
    <row r="57" ht="22" customHeight="1" spans="1:11" x14ac:dyDescent="0.25">
      <c r="A57" s="16"/>
      <c r="B57" s="15"/>
      <c r="C57" s="15"/>
      <c r="D57" s="11"/>
      <c r="E57" s="11"/>
      <c r="F57" s="11"/>
      <c r="G57" s="7"/>
      <c r="H57" s="15"/>
      <c r="I57" s="15"/>
      <c r="J57" s="11"/>
      <c r="K57" s="11"/>
    </row>
    <row r="58" ht="22" customHeight="1" spans="1:11" x14ac:dyDescent="0.25">
      <c r="A58" s="16"/>
      <c r="B58" s="15"/>
      <c r="C58" s="15"/>
      <c r="D58" s="11"/>
      <c r="E58" s="11"/>
      <c r="F58" s="11"/>
      <c r="G58" s="7"/>
      <c r="H58" s="15"/>
      <c r="I58" s="15"/>
      <c r="J58" s="11"/>
      <c r="K58" s="11"/>
    </row>
    <row r="59" ht="22" customHeight="1" spans="1:11" x14ac:dyDescent="0.25">
      <c r="A59" s="16"/>
      <c r="B59" s="15"/>
      <c r="C59" s="15"/>
      <c r="D59" s="11"/>
      <c r="E59" s="11"/>
      <c r="F59" s="11"/>
      <c r="G59" s="7"/>
      <c r="H59" s="15"/>
      <c r="I59" s="15"/>
      <c r="J59" s="11"/>
      <c r="K59" s="11"/>
    </row>
    <row r="60" ht="22" customHeight="1" spans="1:11" x14ac:dyDescent="0.25">
      <c r="A60" s="16"/>
      <c r="B60" s="15"/>
      <c r="C60" s="15"/>
      <c r="D60" s="11"/>
      <c r="E60" s="11"/>
      <c r="F60" s="11"/>
      <c r="G60" s="7"/>
      <c r="H60" s="15"/>
      <c r="I60" s="15"/>
      <c r="J60" s="11"/>
      <c r="K60" s="11"/>
    </row>
    <row r="61" ht="22" customHeight="1" spans="1:11" x14ac:dyDescent="0.25">
      <c r="A61" s="16"/>
      <c r="B61" s="15"/>
      <c r="C61" s="15"/>
      <c r="D61" s="11"/>
      <c r="E61" s="11"/>
      <c r="F61" s="11"/>
      <c r="G61" s="7"/>
      <c r="H61" s="15"/>
      <c r="I61" s="15"/>
      <c r="J61" s="11"/>
      <c r="K61" s="11"/>
    </row>
    <row r="62" ht="22" customHeight="1" spans="1:11" x14ac:dyDescent="0.25">
      <c r="A62" s="16"/>
      <c r="B62" s="15"/>
      <c r="C62" s="15"/>
      <c r="D62" s="11"/>
      <c r="E62" s="11"/>
      <c r="F62" s="11"/>
      <c r="G62" s="7"/>
      <c r="H62" s="15"/>
      <c r="I62" s="15"/>
      <c r="J62" s="11"/>
      <c r="K62" s="11"/>
    </row>
    <row r="63" ht="22" customHeight="1" spans="1:11" x14ac:dyDescent="0.25">
      <c r="A63" s="16"/>
      <c r="B63" s="15"/>
      <c r="C63" s="15"/>
      <c r="D63" s="11"/>
      <c r="E63" s="11"/>
      <c r="F63" s="11"/>
      <c r="G63" s="7"/>
      <c r="H63" s="15"/>
      <c r="I63" s="15"/>
      <c r="J63" s="11"/>
      <c r="K63" s="11"/>
    </row>
    <row r="64" ht="22" customHeight="1" spans="1:11" x14ac:dyDescent="0.25">
      <c r="A64" s="16"/>
      <c r="B64" s="15"/>
      <c r="C64" s="15"/>
      <c r="D64" s="11"/>
      <c r="E64" s="11"/>
      <c r="F64" s="11"/>
      <c r="G64" s="7"/>
      <c r="H64" s="15"/>
      <c r="I64" s="15"/>
      <c r="J64" s="11"/>
      <c r="K64" s="11"/>
    </row>
    <row r="65" ht="22" customHeight="1" spans="1:11" x14ac:dyDescent="0.25">
      <c r="A65" s="16"/>
      <c r="B65" s="15"/>
      <c r="C65" s="15"/>
      <c r="D65" s="11"/>
      <c r="E65" s="11"/>
      <c r="F65" s="11"/>
      <c r="G65" s="7"/>
      <c r="H65" s="15"/>
      <c r="I65" s="15"/>
      <c r="J65" s="11"/>
      <c r="K65" s="11"/>
    </row>
    <row r="66" ht="22" customHeight="1" spans="1:11" x14ac:dyDescent="0.25">
      <c r="A66" s="16"/>
      <c r="B66" s="15"/>
      <c r="C66" s="15"/>
      <c r="D66" s="11"/>
      <c r="E66" s="11"/>
      <c r="F66" s="11"/>
      <c r="G66" s="7"/>
      <c r="H66" s="15"/>
      <c r="I66" s="15"/>
      <c r="J66" s="11"/>
      <c r="K66" s="11"/>
    </row>
    <row r="67" ht="22" customHeight="1" spans="1:11" x14ac:dyDescent="0.25">
      <c r="A67" s="16"/>
      <c r="B67" s="15"/>
      <c r="C67" s="15"/>
      <c r="D67" s="11"/>
      <c r="E67" s="11"/>
      <c r="F67" s="11"/>
      <c r="G67" s="7"/>
      <c r="H67" s="15"/>
      <c r="I67" s="15"/>
      <c r="J67" s="11"/>
      <c r="K67" s="11"/>
    </row>
    <row r="68" ht="22" customHeight="1" spans="1:11" x14ac:dyDescent="0.25">
      <c r="A68" s="16"/>
      <c r="B68" s="15"/>
      <c r="C68" s="15"/>
      <c r="D68" s="11"/>
      <c r="E68" s="11"/>
      <c r="F68" s="11"/>
      <c r="G68" s="7"/>
      <c r="H68" s="15"/>
      <c r="I68" s="15"/>
      <c r="J68" s="11"/>
      <c r="K68" s="11"/>
    </row>
    <row r="69" ht="22" customHeight="1" spans="1:11" x14ac:dyDescent="0.25">
      <c r="A69" s="16"/>
      <c r="B69" s="15"/>
      <c r="C69" s="15"/>
      <c r="D69" s="11"/>
      <c r="E69" s="11"/>
      <c r="F69" s="11"/>
      <c r="G69" s="7"/>
      <c r="H69" s="15"/>
      <c r="I69" s="15"/>
      <c r="J69" s="11"/>
      <c r="K69" s="11"/>
    </row>
    <row r="70" ht="22" customHeight="1" spans="1:11" x14ac:dyDescent="0.25">
      <c r="A70" s="16"/>
      <c r="B70" s="15"/>
      <c r="C70" s="15"/>
      <c r="D70" s="11"/>
      <c r="E70" s="11"/>
      <c r="F70" s="11"/>
      <c r="G70" s="7"/>
      <c r="H70" s="15"/>
      <c r="I70" s="15"/>
      <c r="J70" s="11"/>
      <c r="K70" s="11"/>
    </row>
    <row r="71" ht="22" customHeight="1" spans="1:11" x14ac:dyDescent="0.25">
      <c r="A71" s="16"/>
      <c r="B71" s="15"/>
      <c r="C71" s="15"/>
      <c r="D71" s="11"/>
      <c r="E71" s="11"/>
      <c r="F71" s="11"/>
      <c r="G71" s="7"/>
      <c r="H71" s="15"/>
      <c r="I71" s="15"/>
      <c r="J71" s="11"/>
      <c r="K71" s="11"/>
    </row>
    <row r="72" ht="22" customHeight="1" spans="1:11" x14ac:dyDescent="0.25">
      <c r="A72" s="16"/>
      <c r="B72" s="15"/>
      <c r="C72" s="15"/>
      <c r="D72" s="11"/>
      <c r="E72" s="11"/>
      <c r="F72" s="11"/>
      <c r="G72" s="7"/>
      <c r="H72" s="15"/>
      <c r="I72" s="15"/>
      <c r="J72" s="11"/>
      <c r="K72" s="11"/>
    </row>
    <row r="73" ht="22" customHeight="1" spans="1:11" x14ac:dyDescent="0.25">
      <c r="A73" s="16"/>
      <c r="B73" s="15"/>
      <c r="C73" s="15"/>
      <c r="D73" s="11"/>
      <c r="E73" s="11"/>
      <c r="F73" s="11"/>
      <c r="G73" s="7"/>
      <c r="H73" s="15"/>
      <c r="I73" s="15"/>
      <c r="J73" s="11"/>
      <c r="K73" s="11"/>
    </row>
    <row r="74" ht="22" customHeight="1" spans="1:11" x14ac:dyDescent="0.25">
      <c r="A74" s="16"/>
      <c r="B74" s="15"/>
      <c r="C74" s="15"/>
      <c r="D74" s="11"/>
      <c r="E74" s="11"/>
      <c r="F74" s="11"/>
      <c r="G74" s="7"/>
      <c r="H74" s="15"/>
      <c r="I74" s="15"/>
      <c r="J74" s="11"/>
      <c r="K74" s="11"/>
    </row>
    <row r="75" ht="22" customHeight="1" spans="1:11" x14ac:dyDescent="0.25">
      <c r="A75" s="16"/>
      <c r="B75" s="15"/>
      <c r="C75" s="15"/>
      <c r="D75" s="11"/>
      <c r="E75" s="11"/>
      <c r="F75" s="11"/>
      <c r="G75" s="7"/>
      <c r="H75" s="15"/>
      <c r="I75" s="15"/>
      <c r="J75" s="11"/>
      <c r="K75" s="11"/>
    </row>
    <row r="76" ht="22" customHeight="1" spans="1:11" x14ac:dyDescent="0.25">
      <c r="A76" s="16"/>
      <c r="B76" s="15"/>
      <c r="C76" s="15"/>
      <c r="D76" s="11"/>
      <c r="E76" s="11"/>
      <c r="F76" s="11"/>
      <c r="G76" s="7"/>
      <c r="H76" s="15"/>
      <c r="I76" s="15"/>
      <c r="J76" s="11"/>
      <c r="K76" s="11"/>
    </row>
    <row r="77" ht="22" customHeight="1" spans="1:11" x14ac:dyDescent="0.25">
      <c r="A77" s="16"/>
      <c r="B77" s="15"/>
      <c r="C77" s="15"/>
      <c r="D77" s="11"/>
      <c r="E77" s="11"/>
      <c r="F77" s="11"/>
      <c r="G77" s="7"/>
      <c r="H77" s="15"/>
      <c r="I77" s="15"/>
      <c r="J77" s="11"/>
      <c r="K77" s="11"/>
    </row>
    <row r="78" ht="22" customHeight="1" spans="1:11" x14ac:dyDescent="0.25">
      <c r="A78" s="16"/>
      <c r="B78" s="15"/>
      <c r="C78" s="15"/>
      <c r="D78" s="11"/>
      <c r="E78" s="11"/>
      <c r="F78" s="11"/>
      <c r="G78" s="7"/>
      <c r="H78" s="15"/>
      <c r="I78" s="15"/>
      <c r="J78" s="11"/>
      <c r="K78" s="11"/>
    </row>
    <row r="79" ht="22" customHeight="1" spans="1:11" x14ac:dyDescent="0.25">
      <c r="A79" s="16"/>
      <c r="B79" s="15"/>
      <c r="C79" s="15"/>
      <c r="D79" s="11"/>
      <c r="E79" s="11"/>
      <c r="F79" s="11"/>
      <c r="G79" s="7"/>
      <c r="H79" s="15"/>
      <c r="I79" s="15"/>
      <c r="J79" s="11"/>
      <c r="K79" s="11"/>
    </row>
    <row r="80" ht="22" customHeight="1" spans="1:11" x14ac:dyDescent="0.25">
      <c r="A80" s="16"/>
      <c r="B80" s="15"/>
      <c r="C80" s="15"/>
      <c r="D80" s="11"/>
      <c r="E80" s="11"/>
      <c r="F80" s="11"/>
      <c r="G80" s="7"/>
      <c r="H80" s="15"/>
      <c r="I80" s="15"/>
      <c r="J80" s="11"/>
      <c r="K80" s="11"/>
    </row>
    <row r="81" ht="22" customHeight="1" spans="1:11" x14ac:dyDescent="0.25">
      <c r="A81" s="16"/>
      <c r="B81" s="15"/>
      <c r="C81" s="15"/>
      <c r="D81" s="11"/>
      <c r="E81" s="11"/>
      <c r="F81" s="11"/>
      <c r="G81" s="7"/>
      <c r="H81" s="15"/>
      <c r="I81" s="15"/>
      <c r="J81" s="11"/>
      <c r="K81" s="11"/>
    </row>
    <row r="82" ht="22" customHeight="1" spans="1:11" x14ac:dyDescent="0.25">
      <c r="A82" s="16"/>
      <c r="B82" s="15"/>
      <c r="C82" s="15"/>
      <c r="D82" s="11"/>
      <c r="E82" s="11"/>
      <c r="F82" s="11"/>
      <c r="G82" s="7"/>
      <c r="H82" s="15"/>
      <c r="I82" s="15"/>
      <c r="J82" s="11"/>
      <c r="K82" s="11"/>
    </row>
    <row r="83" ht="22" customHeight="1" spans="1:11" x14ac:dyDescent="0.25">
      <c r="A83" s="16"/>
      <c r="B83" s="15"/>
      <c r="C83" s="15"/>
      <c r="D83" s="11"/>
      <c r="E83" s="11"/>
      <c r="F83" s="11"/>
      <c r="G83" s="7"/>
      <c r="H83" s="15"/>
      <c r="I83" s="15"/>
      <c r="J83" s="11"/>
      <c r="K83" s="11"/>
    </row>
    <row r="84" ht="22" customHeight="1" spans="1:11" x14ac:dyDescent="0.25">
      <c r="A84" s="16"/>
      <c r="B84" s="15"/>
      <c r="C84" s="15"/>
      <c r="D84" s="11"/>
      <c r="E84" s="11"/>
      <c r="F84" s="11"/>
      <c r="G84" s="7"/>
      <c r="H84" s="15"/>
      <c r="I84" s="15"/>
      <c r="J84" s="11"/>
      <c r="K84" s="11"/>
    </row>
    <row r="85" ht="22" customHeight="1" spans="1:11" x14ac:dyDescent="0.25">
      <c r="A85" s="16"/>
      <c r="B85" s="15"/>
      <c r="C85" s="15"/>
      <c r="D85" s="11"/>
      <c r="E85" s="11"/>
      <c r="F85" s="11"/>
      <c r="G85" s="7"/>
      <c r="H85" s="15"/>
      <c r="I85" s="15"/>
      <c r="J85" s="11"/>
      <c r="K85" s="11"/>
    </row>
    <row r="86" ht="22" customHeight="1" spans="1:11" x14ac:dyDescent="0.25">
      <c r="A86" s="16"/>
      <c r="B86" s="15"/>
      <c r="C86" s="15"/>
      <c r="D86" s="11"/>
      <c r="E86" s="11"/>
      <c r="F86" s="11"/>
      <c r="G86" s="7"/>
      <c r="H86" s="15"/>
      <c r="I86" s="15"/>
      <c r="J86" s="11"/>
      <c r="K86" s="11"/>
    </row>
    <row r="87" ht="22" customHeight="1" spans="1:11" x14ac:dyDescent="0.25">
      <c r="A87" s="16"/>
      <c r="B87" s="15"/>
      <c r="C87" s="15"/>
      <c r="D87" s="11"/>
      <c r="E87" s="11"/>
      <c r="F87" s="11"/>
      <c r="G87" s="7"/>
      <c r="H87" s="15"/>
      <c r="I87" s="15"/>
      <c r="J87" s="11"/>
      <c r="K87" s="11"/>
    </row>
    <row r="88" ht="22" customHeight="1" spans="1:11" x14ac:dyDescent="0.25">
      <c r="A88" s="16"/>
      <c r="B88" s="15"/>
      <c r="C88" s="15"/>
      <c r="D88" s="11"/>
      <c r="E88" s="11"/>
      <c r="F88" s="11"/>
      <c r="G88" s="7"/>
      <c r="H88" s="15"/>
      <c r="I88" s="15"/>
      <c r="J88" s="11"/>
      <c r="K88" s="11"/>
    </row>
    <row r="89" ht="22" customHeight="1" spans="1:11" x14ac:dyDescent="0.25">
      <c r="A89" s="16"/>
      <c r="B89" s="15"/>
      <c r="C89" s="15"/>
      <c r="D89" s="11"/>
      <c r="E89" s="11"/>
      <c r="F89" s="11"/>
      <c r="G89" s="7"/>
      <c r="H89" s="15"/>
      <c r="I89" s="15"/>
      <c r="J89" s="11"/>
      <c r="K89" s="11"/>
    </row>
    <row r="90" ht="22" customHeight="1" spans="1:11" x14ac:dyDescent="0.25">
      <c r="A90" s="16"/>
      <c r="B90" s="15"/>
      <c r="C90" s="15"/>
      <c r="D90" s="11"/>
      <c r="E90" s="11"/>
      <c r="F90" s="11"/>
      <c r="G90" s="7"/>
      <c r="H90" s="15"/>
      <c r="I90" s="15"/>
      <c r="J90" s="11"/>
      <c r="K90" s="11"/>
    </row>
    <row r="91" ht="22" customHeight="1" spans="1:11" x14ac:dyDescent="0.25">
      <c r="A91" s="16"/>
      <c r="B91" s="15"/>
      <c r="C91" s="15"/>
      <c r="D91" s="11"/>
      <c r="E91" s="11"/>
      <c r="F91" s="11"/>
      <c r="G91" s="7"/>
      <c r="H91" s="15"/>
      <c r="I91" s="15"/>
      <c r="J91" s="11"/>
      <c r="K91" s="11"/>
    </row>
    <row r="92" ht="22" customHeight="1" spans="1:11" x14ac:dyDescent="0.25">
      <c r="A92" s="16"/>
      <c r="B92" s="15"/>
      <c r="C92" s="15"/>
      <c r="D92" s="11"/>
      <c r="E92" s="11"/>
      <c r="F92" s="11"/>
      <c r="G92" s="7"/>
      <c r="H92" s="15"/>
      <c r="I92" s="15"/>
      <c r="J92" s="11"/>
      <c r="K92" s="11"/>
    </row>
    <row r="93" ht="22" customHeight="1" spans="1:11" x14ac:dyDescent="0.25">
      <c r="A93" s="16"/>
      <c r="B93" s="15"/>
      <c r="C93" s="15"/>
      <c r="D93" s="11"/>
      <c r="E93" s="11"/>
      <c r="F93" s="11"/>
      <c r="G93" s="7"/>
      <c r="H93" s="15"/>
      <c r="I93" s="15"/>
      <c r="J93" s="11"/>
      <c r="K93" s="11"/>
    </row>
    <row r="94" ht="22" customHeight="1" spans="1:11" x14ac:dyDescent="0.25">
      <c r="A94" s="16"/>
      <c r="B94" s="15"/>
      <c r="C94" s="15"/>
      <c r="D94" s="11"/>
      <c r="E94" s="11"/>
      <c r="F94" s="11"/>
      <c r="G94" s="7"/>
      <c r="H94" s="15"/>
      <c r="I94" s="15"/>
      <c r="J94" s="11"/>
      <c r="K94" s="11"/>
    </row>
    <row r="95" ht="22" customHeight="1" spans="1:11" x14ac:dyDescent="0.25">
      <c r="A95" s="16"/>
      <c r="B95" s="15"/>
      <c r="C95" s="15"/>
      <c r="D95" s="11"/>
      <c r="E95" s="11"/>
      <c r="F95" s="11"/>
      <c r="G95" s="7"/>
      <c r="H95" s="15"/>
      <c r="I95" s="15"/>
      <c r="J95" s="11"/>
      <c r="K95" s="11"/>
    </row>
    <row r="96" ht="22" customHeight="1" spans="1:11" x14ac:dyDescent="0.25">
      <c r="A96" s="16"/>
      <c r="B96" s="15"/>
      <c r="C96" s="15"/>
      <c r="D96" s="11"/>
      <c r="E96" s="11"/>
      <c r="F96" s="11"/>
      <c r="G96" s="7"/>
      <c r="H96" s="15"/>
      <c r="I96" s="15"/>
      <c r="J96" s="11"/>
      <c r="K96" s="11"/>
    </row>
    <row r="97" ht="22" customHeight="1" spans="1:11" x14ac:dyDescent="0.25">
      <c r="A97" s="16"/>
      <c r="B97" s="15"/>
      <c r="C97" s="15"/>
      <c r="D97" s="11"/>
      <c r="E97" s="11"/>
      <c r="F97" s="11"/>
      <c r="G97" s="7"/>
      <c r="H97" s="15"/>
      <c r="I97" s="15"/>
      <c r="J97" s="11"/>
      <c r="K97" s="11"/>
    </row>
    <row r="98" ht="22" customHeight="1" spans="1:11" x14ac:dyDescent="0.25">
      <c r="A98" s="16"/>
      <c r="B98" s="15"/>
      <c r="C98" s="15"/>
      <c r="D98" s="11"/>
      <c r="E98" s="11"/>
      <c r="F98" s="11"/>
      <c r="G98" s="7"/>
      <c r="H98" s="15"/>
      <c r="I98" s="15"/>
      <c r="J98" s="11"/>
      <c r="K98" s="11"/>
    </row>
    <row r="99" ht="22" customHeight="1" spans="1:11" x14ac:dyDescent="0.25">
      <c r="A99" s="16"/>
      <c r="B99" s="15"/>
      <c r="C99" s="15"/>
      <c r="D99" s="11"/>
      <c r="E99" s="11"/>
      <c r="F99" s="11"/>
      <c r="G99" s="7"/>
      <c r="H99" s="15"/>
      <c r="I99" s="15"/>
      <c r="J99" s="11"/>
      <c r="K99" s="11"/>
    </row>
    <row r="100" ht="22" customHeight="1" spans="1:11" x14ac:dyDescent="0.25">
      <c r="A100" s="16"/>
      <c r="B100" s="15"/>
      <c r="C100" s="15"/>
      <c r="D100" s="11"/>
      <c r="E100" s="11"/>
      <c r="F100" s="11"/>
      <c r="G100" s="7"/>
      <c r="H100" s="15"/>
      <c r="I100" s="15"/>
      <c r="J100" s="11"/>
      <c r="K100" s="11"/>
    </row>
    <row r="101" ht="22" customHeight="1" spans="1:11" x14ac:dyDescent="0.25">
      <c r="A101" s="16"/>
      <c r="B101" s="15"/>
      <c r="C101" s="15"/>
      <c r="D101" s="11"/>
      <c r="E101" s="11"/>
      <c r="F101" s="11"/>
      <c r="G101" s="7"/>
      <c r="H101" s="15"/>
      <c r="I101" s="15"/>
      <c r="J101" s="11"/>
      <c r="K101" s="11"/>
    </row>
    <row r="102" ht="22" customHeight="1" spans="1:11" x14ac:dyDescent="0.25">
      <c r="A102" s="16"/>
      <c r="B102" s="15"/>
      <c r="C102" s="15"/>
      <c r="D102" s="11"/>
      <c r="E102" s="11"/>
      <c r="F102" s="11"/>
      <c r="G102" s="7"/>
      <c r="H102" s="15"/>
      <c r="I102" s="15"/>
      <c r="J102" s="11"/>
      <c r="K102" s="11"/>
    </row>
    <row r="103" ht="22" customHeight="1" spans="1:11" x14ac:dyDescent="0.25">
      <c r="A103" s="16"/>
      <c r="B103" s="15"/>
      <c r="C103" s="15"/>
      <c r="D103" s="11"/>
      <c r="E103" s="11"/>
      <c r="F103" s="11"/>
      <c r="G103" s="7"/>
      <c r="H103" s="15"/>
      <c r="I103" s="15"/>
      <c r="J103" s="11"/>
      <c r="K103" s="11"/>
    </row>
    <row r="104" ht="22" customHeight="1" spans="1:11" x14ac:dyDescent="0.25">
      <c r="A104" s="16"/>
      <c r="B104" s="15"/>
      <c r="C104" s="15"/>
      <c r="D104" s="11"/>
      <c r="E104" s="11"/>
      <c r="F104" s="11"/>
      <c r="G104" s="7"/>
      <c r="H104" s="15"/>
      <c r="I104" s="15"/>
      <c r="J104" s="11"/>
      <c r="K104" s="11"/>
    </row>
    <row r="105" ht="22" customHeight="1" spans="1:11" x14ac:dyDescent="0.25">
      <c r="A105" s="16"/>
      <c r="B105" s="15"/>
      <c r="C105" s="15"/>
      <c r="D105" s="11"/>
      <c r="E105" s="11"/>
      <c r="F105" s="11"/>
      <c r="G105" s="7"/>
      <c r="H105" s="15"/>
      <c r="I105" s="15"/>
      <c r="J105" s="11"/>
      <c r="K105" s="11"/>
    </row>
    <row r="106" ht="22" customHeight="1" spans="1:11" x14ac:dyDescent="0.25">
      <c r="A106" s="16"/>
      <c r="B106" s="15"/>
      <c r="C106" s="15"/>
      <c r="D106" s="11"/>
      <c r="E106" s="11"/>
      <c r="F106" s="11"/>
      <c r="G106" s="7"/>
      <c r="H106" s="15"/>
      <c r="I106" s="15"/>
      <c r="J106" s="11"/>
      <c r="K106" s="11"/>
    </row>
    <row r="107" ht="22" customHeight="1" spans="1:11" x14ac:dyDescent="0.25">
      <c r="A107" s="16"/>
      <c r="B107" s="15"/>
      <c r="C107" s="15"/>
      <c r="D107" s="11"/>
      <c r="E107" s="11"/>
      <c r="F107" s="11"/>
      <c r="G107" s="7"/>
      <c r="H107" s="15"/>
      <c r="I107" s="15"/>
      <c r="J107" s="11"/>
      <c r="K107" s="11"/>
    </row>
    <row r="108" ht="22" customHeight="1" spans="1:11" x14ac:dyDescent="0.25">
      <c r="A108" s="16"/>
      <c r="B108" s="15"/>
      <c r="C108" s="15"/>
      <c r="D108" s="11"/>
      <c r="E108" s="11"/>
      <c r="F108" s="11"/>
      <c r="G108" s="7"/>
      <c r="H108" s="15"/>
      <c r="I108" s="15"/>
      <c r="J108" s="11"/>
      <c r="K108" s="11"/>
    </row>
    <row r="109" ht="22" customHeight="1" spans="1:11" x14ac:dyDescent="0.25">
      <c r="A109" s="16"/>
      <c r="B109" s="15"/>
      <c r="C109" s="15"/>
      <c r="D109" s="11"/>
      <c r="E109" s="11"/>
      <c r="F109" s="11"/>
      <c r="G109" s="7"/>
      <c r="H109" s="15"/>
      <c r="I109" s="15"/>
      <c r="J109" s="11"/>
      <c r="K109" s="11"/>
    </row>
    <row r="110" ht="22" customHeight="1" spans="1:11" x14ac:dyDescent="0.25">
      <c r="A110" s="16"/>
      <c r="B110" s="15"/>
      <c r="C110" s="15"/>
      <c r="D110" s="11"/>
      <c r="E110" s="11"/>
      <c r="F110" s="11"/>
      <c r="G110" s="7"/>
      <c r="H110" s="15"/>
      <c r="I110" s="15"/>
      <c r="J110" s="11"/>
      <c r="K110" s="11"/>
    </row>
    <row r="111" ht="22" customHeight="1" spans="1:11" x14ac:dyDescent="0.25">
      <c r="A111" s="16"/>
      <c r="B111" s="15"/>
      <c r="C111" s="15"/>
      <c r="D111" s="11"/>
      <c r="E111" s="11"/>
      <c r="F111" s="11"/>
      <c r="G111" s="7"/>
      <c r="H111" s="15"/>
      <c r="I111" s="15"/>
      <c r="J111" s="11"/>
      <c r="K111" s="11"/>
    </row>
    <row r="112" ht="22" customHeight="1" spans="1:11" x14ac:dyDescent="0.25">
      <c r="A112" s="16"/>
      <c r="B112" s="15"/>
      <c r="C112" s="15"/>
      <c r="D112" s="11"/>
      <c r="E112" s="11"/>
      <c r="F112" s="11"/>
      <c r="G112" s="7"/>
      <c r="H112" s="15"/>
      <c r="I112" s="15"/>
      <c r="J112" s="11"/>
      <c r="K112" s="11"/>
    </row>
    <row r="113" ht="22" customHeight="1" spans="1:11" x14ac:dyDescent="0.25">
      <c r="A113" s="16"/>
      <c r="B113" s="15"/>
      <c r="C113" s="15"/>
      <c r="D113" s="11"/>
      <c r="E113" s="11"/>
      <c r="F113" s="11"/>
      <c r="G113" s="7"/>
      <c r="H113" s="15"/>
      <c r="I113" s="15"/>
      <c r="J113" s="11"/>
      <c r="K113" s="11"/>
    </row>
    <row r="114" ht="22" customHeight="1" spans="1:11" x14ac:dyDescent="0.25">
      <c r="A114" s="16"/>
      <c r="B114" s="15"/>
      <c r="C114" s="15"/>
      <c r="D114" s="11"/>
      <c r="E114" s="11"/>
      <c r="F114" s="11"/>
      <c r="G114" s="7"/>
      <c r="H114" s="15"/>
      <c r="I114" s="15"/>
      <c r="J114" s="11"/>
      <c r="K114" s="11"/>
    </row>
    <row r="115" ht="22" customHeight="1" spans="1:11" x14ac:dyDescent="0.25">
      <c r="A115" s="16"/>
      <c r="B115" s="15"/>
      <c r="C115" s="15"/>
      <c r="D115" s="11"/>
      <c r="E115" s="11"/>
      <c r="F115" s="11"/>
      <c r="G115" s="7"/>
      <c r="H115" s="15"/>
      <c r="I115" s="15"/>
      <c r="J115" s="11"/>
      <c r="K115" s="11"/>
    </row>
    <row r="116" ht="22" customHeight="1" spans="1:11" x14ac:dyDescent="0.25">
      <c r="A116" s="16"/>
      <c r="B116" s="15"/>
      <c r="C116" s="15"/>
      <c r="D116" s="11"/>
      <c r="E116" s="11"/>
      <c r="F116" s="11"/>
      <c r="G116" s="7"/>
      <c r="H116" s="15"/>
      <c r="I116" s="15"/>
      <c r="J116" s="11"/>
      <c r="K116" s="11"/>
    </row>
    <row r="117" ht="22" customHeight="1" spans="1:11" x14ac:dyDescent="0.25">
      <c r="A117" s="16"/>
      <c r="B117" s="15"/>
      <c r="C117" s="15"/>
      <c r="D117" s="11"/>
      <c r="E117" s="11"/>
      <c r="F117" s="11"/>
      <c r="G117" s="7"/>
      <c r="H117" s="15"/>
      <c r="I117" s="15"/>
      <c r="J117" s="11"/>
      <c r="K117" s="11"/>
    </row>
    <row r="118" ht="22" customHeight="1" spans="1:11" x14ac:dyDescent="0.25">
      <c r="A118" s="16"/>
      <c r="B118" s="15"/>
      <c r="C118" s="15"/>
      <c r="D118" s="11"/>
      <c r="E118" s="11"/>
      <c r="F118" s="11"/>
      <c r="G118" s="7"/>
      <c r="H118" s="15"/>
      <c r="I118" s="15"/>
      <c r="J118" s="11"/>
      <c r="K118" s="11"/>
    </row>
    <row r="119" ht="22" customHeight="1" spans="1:11" x14ac:dyDescent="0.25">
      <c r="A119" s="16"/>
      <c r="B119" s="15"/>
      <c r="C119" s="15"/>
      <c r="D119" s="11"/>
      <c r="E119" s="11"/>
      <c r="F119" s="11"/>
      <c r="G119" s="7"/>
      <c r="H119" s="15"/>
      <c r="I119" s="15"/>
      <c r="J119" s="11"/>
      <c r="K119" s="11"/>
    </row>
    <row r="120" ht="22" customHeight="1" spans="1:11" x14ac:dyDescent="0.25">
      <c r="A120" s="16"/>
      <c r="B120" s="15"/>
      <c r="C120" s="15"/>
      <c r="D120" s="11"/>
      <c r="E120" s="11"/>
      <c r="F120" s="11"/>
      <c r="G120" s="7"/>
      <c r="H120" s="15"/>
      <c r="I120" s="15"/>
      <c r="J120" s="11"/>
      <c r="K120" s="11"/>
    </row>
    <row r="121" ht="22" customHeight="1" spans="1:11" x14ac:dyDescent="0.25">
      <c r="A121" s="16"/>
      <c r="B121" s="15"/>
      <c r="C121" s="15"/>
      <c r="D121" s="11"/>
      <c r="E121" s="11"/>
      <c r="F121" s="11"/>
      <c r="G121" s="7"/>
      <c r="H121" s="15"/>
      <c r="I121" s="15"/>
      <c r="J121" s="11"/>
      <c r="K121" s="11"/>
    </row>
    <row r="122" ht="22" customHeight="1" spans="1:11" x14ac:dyDescent="0.25">
      <c r="A122" s="16"/>
      <c r="B122" s="15"/>
      <c r="C122" s="15"/>
      <c r="D122" s="11"/>
      <c r="E122" s="11"/>
      <c r="F122" s="11"/>
      <c r="G122" s="7"/>
      <c r="H122" s="15"/>
      <c r="I122" s="15"/>
      <c r="J122" s="11"/>
      <c r="K122" s="11"/>
    </row>
    <row r="123" ht="22" customHeight="1" spans="1:11" x14ac:dyDescent="0.25">
      <c r="A123" s="16"/>
      <c r="B123" s="15"/>
      <c r="C123" s="15"/>
      <c r="D123" s="11"/>
      <c r="E123" s="11"/>
      <c r="F123" s="11"/>
      <c r="G123" s="7"/>
      <c r="H123" s="15"/>
      <c r="I123" s="15"/>
      <c r="J123" s="11"/>
      <c r="K123" s="11"/>
    </row>
    <row r="124" ht="22" customHeight="1" spans="1:11" x14ac:dyDescent="0.25">
      <c r="A124" s="16"/>
      <c r="B124" s="15"/>
      <c r="C124" s="15"/>
      <c r="D124" s="11"/>
      <c r="E124" s="11"/>
      <c r="F124" s="11"/>
      <c r="G124" s="7"/>
      <c r="H124" s="15"/>
      <c r="I124" s="15"/>
      <c r="J124" s="11"/>
      <c r="K124" s="11"/>
    </row>
    <row r="125" ht="22" customHeight="1" spans="1:11" x14ac:dyDescent="0.25">
      <c r="A125" s="16"/>
      <c r="B125" s="15"/>
      <c r="C125" s="15"/>
      <c r="D125" s="11"/>
      <c r="E125" s="11"/>
      <c r="F125" s="11"/>
      <c r="G125" s="7"/>
      <c r="H125" s="15"/>
      <c r="I125" s="15"/>
      <c r="J125" s="11"/>
      <c r="K125" s="11"/>
    </row>
    <row r="126" ht="22" customHeight="1" spans="1:11" x14ac:dyDescent="0.25">
      <c r="A126" s="16"/>
      <c r="B126" s="15"/>
      <c r="C126" s="15"/>
      <c r="D126" s="11"/>
      <c r="E126" s="11"/>
      <c r="F126" s="11"/>
      <c r="G126" s="7"/>
      <c r="H126" s="15"/>
      <c r="I126" s="15"/>
      <c r="J126" s="11"/>
      <c r="K126" s="11"/>
    </row>
    <row r="127" ht="22" customHeight="1" spans="1:11" x14ac:dyDescent="0.25">
      <c r="A127" s="16"/>
      <c r="B127" s="15"/>
      <c r="C127" s="15"/>
      <c r="D127" s="11"/>
      <c r="E127" s="11"/>
      <c r="F127" s="11"/>
      <c r="G127" s="7"/>
      <c r="H127" s="15"/>
      <c r="I127" s="15"/>
      <c r="J127" s="11"/>
      <c r="K127" s="11"/>
    </row>
    <row r="128" ht="22" customHeight="1" spans="1:11" x14ac:dyDescent="0.25">
      <c r="A128" s="16"/>
      <c r="B128" s="15"/>
      <c r="C128" s="15"/>
      <c r="D128" s="11"/>
      <c r="E128" s="11"/>
      <c r="F128" s="11"/>
      <c r="G128" s="7"/>
      <c r="H128" s="15"/>
      <c r="I128" s="15"/>
      <c r="J128" s="11"/>
      <c r="K128" s="11"/>
    </row>
    <row r="129" ht="22" customHeight="1" spans="1:11" x14ac:dyDescent="0.25">
      <c r="A129" s="16"/>
      <c r="B129" s="15"/>
      <c r="C129" s="15"/>
      <c r="D129" s="11"/>
      <c r="E129" s="11"/>
      <c r="F129" s="11"/>
      <c r="G129" s="7"/>
      <c r="H129" s="15"/>
      <c r="I129" s="15"/>
      <c r="J129" s="11"/>
      <c r="K129" s="11"/>
    </row>
    <row r="130" ht="22" customHeight="1" spans="1:11" x14ac:dyDescent="0.25">
      <c r="A130" s="16"/>
      <c r="B130" s="15"/>
      <c r="C130" s="15"/>
      <c r="D130" s="11"/>
      <c r="E130" s="11"/>
      <c r="F130" s="11"/>
      <c r="G130" s="7"/>
      <c r="H130" s="15"/>
      <c r="I130" s="15"/>
      <c r="J130" s="11"/>
      <c r="K130" s="11"/>
    </row>
    <row r="131" ht="22" customHeight="1" spans="1:11" x14ac:dyDescent="0.25">
      <c r="A131" s="16"/>
      <c r="B131" s="15"/>
      <c r="C131" s="15"/>
      <c r="D131" s="11"/>
      <c r="E131" s="11"/>
      <c r="F131" s="11"/>
      <c r="G131" s="7"/>
      <c r="H131" s="15"/>
      <c r="I131" s="15"/>
      <c r="J131" s="11"/>
      <c r="K131" s="11"/>
    </row>
    <row r="132" ht="22" customHeight="1" spans="1:11" x14ac:dyDescent="0.25">
      <c r="A132" s="16"/>
      <c r="B132" s="15"/>
      <c r="C132" s="15"/>
      <c r="D132" s="11"/>
      <c r="E132" s="11"/>
      <c r="F132" s="11"/>
      <c r="G132" s="7"/>
      <c r="H132" s="15"/>
      <c r="I132" s="15"/>
      <c r="J132" s="11"/>
      <c r="K132" s="11"/>
    </row>
    <row r="133" ht="22" customHeight="1" spans="1:11" x14ac:dyDescent="0.25">
      <c r="A133" s="16"/>
      <c r="B133" s="15"/>
      <c r="C133" s="15"/>
      <c r="D133" s="11"/>
      <c r="E133" s="11"/>
      <c r="F133" s="11"/>
      <c r="G133" s="7"/>
      <c r="H133" s="15"/>
      <c r="I133" s="15"/>
      <c r="J133" s="11"/>
      <c r="K133" s="11"/>
    </row>
    <row r="134" ht="22" customHeight="1" spans="1:11" x14ac:dyDescent="0.25">
      <c r="A134" s="16"/>
      <c r="B134" s="15"/>
      <c r="C134" s="15"/>
      <c r="D134" s="11"/>
      <c r="E134" s="11"/>
      <c r="F134" s="11"/>
      <c r="G134" s="7"/>
      <c r="H134" s="15"/>
      <c r="I134" s="15"/>
      <c r="J134" s="11"/>
      <c r="K134" s="11"/>
    </row>
    <row r="135" ht="22" customHeight="1" spans="1:11" x14ac:dyDescent="0.25">
      <c r="A135" s="16"/>
      <c r="B135" s="15"/>
      <c r="C135" s="15"/>
      <c r="D135" s="11"/>
      <c r="E135" s="11"/>
      <c r="F135" s="11"/>
      <c r="G135" s="7"/>
      <c r="H135" s="15"/>
      <c r="I135" s="15"/>
      <c r="J135" s="11"/>
      <c r="K135" s="11"/>
    </row>
    <row r="136" ht="22" customHeight="1" spans="1:11" x14ac:dyDescent="0.25">
      <c r="A136" s="16"/>
      <c r="B136" s="15"/>
      <c r="C136" s="15"/>
      <c r="D136" s="11"/>
      <c r="E136" s="11"/>
      <c r="F136" s="11"/>
      <c r="G136" s="7"/>
      <c r="H136" s="15"/>
      <c r="I136" s="15"/>
      <c r="J136" s="11"/>
      <c r="K136" s="11"/>
    </row>
    <row r="137" ht="22" customHeight="1" spans="1:11" x14ac:dyDescent="0.25">
      <c r="A137" s="16"/>
      <c r="B137" s="15"/>
      <c r="C137" s="15"/>
      <c r="D137" s="11"/>
      <c r="E137" s="11"/>
      <c r="F137" s="11"/>
      <c r="G137" s="7"/>
      <c r="H137" s="15"/>
      <c r="I137" s="15"/>
      <c r="J137" s="11"/>
      <c r="K137" s="11"/>
    </row>
    <row r="138" ht="22" customHeight="1" spans="1:11" x14ac:dyDescent="0.25">
      <c r="A138" s="16"/>
      <c r="B138" s="15"/>
      <c r="C138" s="15"/>
      <c r="D138" s="11"/>
      <c r="E138" s="11"/>
      <c r="F138" s="11"/>
      <c r="G138" s="7"/>
      <c r="H138" s="15"/>
      <c r="I138" s="15"/>
      <c r="J138" s="11"/>
      <c r="K138" s="11"/>
    </row>
    <row r="139" ht="22" customHeight="1" spans="1:11" x14ac:dyDescent="0.25">
      <c r="A139" s="16"/>
      <c r="B139" s="15"/>
      <c r="C139" s="15"/>
      <c r="D139" s="11"/>
      <c r="E139" s="11"/>
      <c r="F139" s="11"/>
      <c r="G139" s="7"/>
      <c r="H139" s="15"/>
      <c r="I139" s="15"/>
      <c r="J139" s="11"/>
      <c r="K139" s="11"/>
    </row>
    <row r="140" ht="22" customHeight="1" spans="1:11" x14ac:dyDescent="0.25">
      <c r="A140" s="16"/>
      <c r="B140" s="15"/>
      <c r="C140" s="15"/>
      <c r="D140" s="11"/>
      <c r="E140" s="11"/>
      <c r="F140" s="11"/>
      <c r="G140" s="7"/>
      <c r="H140" s="15"/>
      <c r="I140" s="15"/>
      <c r="J140" s="11"/>
      <c r="K140" s="11"/>
    </row>
    <row r="141" ht="22" customHeight="1" spans="1:11" x14ac:dyDescent="0.25">
      <c r="A141" s="16"/>
      <c r="B141" s="15"/>
      <c r="C141" s="15"/>
      <c r="D141" s="11"/>
      <c r="E141" s="11"/>
      <c r="F141" s="11"/>
      <c r="G141" s="7"/>
      <c r="H141" s="15"/>
      <c r="I141" s="15"/>
      <c r="J141" s="11"/>
      <c r="K141" s="11"/>
    </row>
    <row r="142" ht="22" customHeight="1" spans="1:11" x14ac:dyDescent="0.25">
      <c r="A142" s="16"/>
      <c r="B142" s="15"/>
      <c r="C142" s="15"/>
      <c r="D142" s="11"/>
      <c r="E142" s="11"/>
      <c r="F142" s="11"/>
      <c r="G142" s="7"/>
      <c r="H142" s="15"/>
      <c r="I142" s="15"/>
      <c r="J142" s="11"/>
      <c r="K142" s="11"/>
    </row>
    <row r="143" ht="22" customHeight="1" spans="1:11" x14ac:dyDescent="0.25">
      <c r="A143" s="16"/>
      <c r="B143" s="15"/>
      <c r="C143" s="15"/>
      <c r="D143" s="11"/>
      <c r="E143" s="11"/>
      <c r="F143" s="11"/>
      <c r="G143" s="7"/>
      <c r="H143" s="15"/>
      <c r="I143" s="15"/>
      <c r="J143" s="11"/>
      <c r="K143" s="11"/>
    </row>
    <row r="144" ht="22" customHeight="1" spans="1:11" x14ac:dyDescent="0.25">
      <c r="A144" s="16"/>
      <c r="B144" s="15"/>
      <c r="C144" s="15"/>
      <c r="D144" s="11"/>
      <c r="E144" s="11"/>
      <c r="F144" s="11"/>
      <c r="G144" s="7"/>
      <c r="H144" s="15"/>
      <c r="I144" s="15"/>
      <c r="J144" s="11"/>
      <c r="K144" s="11"/>
    </row>
    <row r="145" ht="22" customHeight="1" spans="1:11" x14ac:dyDescent="0.25">
      <c r="A145" s="16"/>
      <c r="B145" s="15"/>
      <c r="C145" s="15"/>
      <c r="D145" s="11"/>
      <c r="E145" s="11"/>
      <c r="F145" s="11"/>
      <c r="G145" s="7"/>
      <c r="H145" s="15"/>
      <c r="I145" s="15"/>
      <c r="J145" s="11"/>
      <c r="K145" s="11"/>
    </row>
    <row r="146" ht="22" customHeight="1" spans="1:11" x14ac:dyDescent="0.25">
      <c r="A146" s="16"/>
      <c r="B146" s="15"/>
      <c r="C146" s="15"/>
      <c r="D146" s="11"/>
      <c r="E146" s="11"/>
      <c r="F146" s="11"/>
      <c r="G146" s="7"/>
      <c r="H146" s="15"/>
      <c r="I146" s="15"/>
      <c r="J146" s="11"/>
      <c r="K146" s="11"/>
    </row>
    <row r="147" ht="22" customHeight="1" spans="1:11" x14ac:dyDescent="0.25">
      <c r="A147" s="16"/>
      <c r="B147" s="15"/>
      <c r="C147" s="15"/>
      <c r="D147" s="11"/>
      <c r="E147" s="11"/>
      <c r="F147" s="11"/>
      <c r="G147" s="7"/>
      <c r="H147" s="15"/>
      <c r="I147" s="15"/>
      <c r="J147" s="11"/>
      <c r="K147" s="11"/>
    </row>
    <row r="148" ht="22" customHeight="1" spans="1:11" x14ac:dyDescent="0.25">
      <c r="A148" s="16"/>
      <c r="B148" s="15"/>
      <c r="C148" s="15"/>
      <c r="D148" s="11"/>
      <c r="E148" s="11"/>
      <c r="F148" s="11"/>
      <c r="G148" s="7"/>
      <c r="H148" s="15"/>
      <c r="I148" s="15"/>
      <c r="J148" s="11"/>
      <c r="K148" s="11"/>
    </row>
    <row r="149" ht="22" customHeight="1" spans="1:11" x14ac:dyDescent="0.25">
      <c r="A149" s="16"/>
      <c r="B149" s="15"/>
      <c r="C149" s="15"/>
      <c r="D149" s="11"/>
      <c r="E149" s="11"/>
      <c r="F149" s="11"/>
      <c r="G149" s="7"/>
      <c r="H149" s="15"/>
      <c r="I149" s="15"/>
      <c r="J149" s="11"/>
      <c r="K149" s="11"/>
    </row>
    <row r="150" ht="22" customHeight="1" spans="1:11" x14ac:dyDescent="0.25">
      <c r="A150" s="16"/>
      <c r="B150" s="15"/>
      <c r="C150" s="15"/>
      <c r="D150" s="11"/>
      <c r="E150" s="11"/>
      <c r="F150" s="11"/>
      <c r="G150" s="7"/>
      <c r="H150" s="15"/>
      <c r="I150" s="15"/>
      <c r="J150" s="11"/>
      <c r="K150" s="11"/>
    </row>
    <row r="151" ht="22" customHeight="1" spans="1:11" x14ac:dyDescent="0.25">
      <c r="A151" s="16"/>
      <c r="B151" s="15"/>
      <c r="C151" s="15"/>
      <c r="D151" s="11"/>
      <c r="E151" s="11"/>
      <c r="F151" s="11"/>
      <c r="G151" s="7"/>
      <c r="H151" s="15"/>
      <c r="I151" s="15"/>
      <c r="J151" s="11"/>
      <c r="K151" s="11"/>
    </row>
    <row r="152" ht="22" customHeight="1" spans="1:11" x14ac:dyDescent="0.25">
      <c r="A152" s="16"/>
      <c r="B152" s="15"/>
      <c r="C152" s="15"/>
      <c r="D152" s="11"/>
      <c r="E152" s="11"/>
      <c r="F152" s="11"/>
      <c r="G152" s="7"/>
      <c r="H152" s="15"/>
      <c r="I152" s="15"/>
      <c r="J152" s="11"/>
      <c r="K152" s="11"/>
    </row>
    <row r="153" ht="22" customHeight="1" spans="1:11" x14ac:dyDescent="0.25">
      <c r="A153" s="16"/>
      <c r="B153" s="15"/>
      <c r="C153" s="15"/>
      <c r="D153" s="11"/>
      <c r="E153" s="11"/>
      <c r="F153" s="11"/>
      <c r="G153" s="7"/>
      <c r="H153" s="15"/>
      <c r="I153" s="15"/>
      <c r="J153" s="11"/>
      <c r="K153" s="11"/>
    </row>
    <row r="154" ht="22" customHeight="1" spans="1:11" x14ac:dyDescent="0.25">
      <c r="A154" s="16"/>
      <c r="B154" s="15"/>
      <c r="C154" s="15"/>
      <c r="D154" s="11"/>
      <c r="E154" s="11"/>
      <c r="F154" s="11"/>
      <c r="G154" s="7"/>
      <c r="H154" s="15"/>
      <c r="I154" s="15"/>
      <c r="J154" s="11"/>
      <c r="K154" s="11"/>
    </row>
    <row r="155" ht="22" customHeight="1" spans="1:11" x14ac:dyDescent="0.25">
      <c r="A155" s="16"/>
      <c r="B155" s="15"/>
      <c r="C155" s="15"/>
      <c r="D155" s="11"/>
      <c r="E155" s="11"/>
      <c r="F155" s="11"/>
      <c r="G155" s="7"/>
      <c r="H155" s="15"/>
      <c r="I155" s="15"/>
      <c r="J155" s="11"/>
      <c r="K155" s="11"/>
    </row>
    <row r="156" ht="22" customHeight="1" spans="1:11" x14ac:dyDescent="0.25">
      <c r="A156" s="16"/>
      <c r="B156" s="15"/>
      <c r="C156" s="15"/>
      <c r="D156" s="11"/>
      <c r="E156" s="11"/>
      <c r="F156" s="11"/>
      <c r="G156" s="7"/>
      <c r="H156" s="15"/>
      <c r="I156" s="15"/>
      <c r="J156" s="11"/>
      <c r="K156" s="11"/>
    </row>
    <row r="157" ht="22" customHeight="1" spans="1:11" x14ac:dyDescent="0.25">
      <c r="A157" s="16"/>
      <c r="B157" s="15"/>
      <c r="C157" s="15"/>
      <c r="D157" s="11"/>
      <c r="E157" s="11"/>
      <c r="F157" s="11"/>
      <c r="G157" s="7"/>
      <c r="H157" s="15"/>
      <c r="I157" s="15"/>
      <c r="J157" s="11"/>
      <c r="K157" s="11"/>
    </row>
    <row r="158" ht="22" customHeight="1" spans="1:11" x14ac:dyDescent="0.25">
      <c r="A158" s="16"/>
      <c r="B158" s="15"/>
      <c r="C158" s="15"/>
      <c r="D158" s="11"/>
      <c r="E158" s="11"/>
      <c r="F158" s="11"/>
      <c r="G158" s="7"/>
      <c r="H158" s="15"/>
      <c r="I158" s="15"/>
      <c r="J158" s="11"/>
      <c r="K158" s="11"/>
    </row>
    <row r="159" ht="22" customHeight="1" spans="1:11" x14ac:dyDescent="0.25">
      <c r="A159" s="16"/>
      <c r="B159" s="15"/>
      <c r="C159" s="15"/>
      <c r="D159" s="11"/>
      <c r="E159" s="11"/>
      <c r="F159" s="11"/>
      <c r="G159" s="7"/>
      <c r="H159" s="15"/>
      <c r="I159" s="15"/>
      <c r="J159" s="11"/>
      <c r="K159" s="11"/>
    </row>
    <row r="160" ht="22" customHeight="1" spans="1:11" x14ac:dyDescent="0.25">
      <c r="A160" s="16"/>
      <c r="B160" s="15"/>
      <c r="C160" s="15"/>
      <c r="D160" s="11"/>
      <c r="E160" s="11"/>
      <c r="F160" s="11"/>
      <c r="G160" s="7"/>
      <c r="H160" s="15"/>
      <c r="I160" s="15"/>
      <c r="J160" s="11"/>
      <c r="K160" s="11"/>
    </row>
    <row r="161" ht="22" customHeight="1" spans="1:11" x14ac:dyDescent="0.25">
      <c r="A161" s="16"/>
      <c r="B161" s="15"/>
      <c r="C161" s="15"/>
      <c r="D161" s="11"/>
      <c r="E161" s="11"/>
      <c r="F161" s="11"/>
      <c r="G161" s="7"/>
      <c r="H161" s="15"/>
      <c r="I161" s="15"/>
      <c r="J161" s="11"/>
      <c r="K161" s="11"/>
    </row>
    <row r="162" ht="22" customHeight="1" spans="1:11" x14ac:dyDescent="0.25">
      <c r="A162" s="16"/>
      <c r="B162" s="15"/>
      <c r="C162" s="15"/>
      <c r="D162" s="11"/>
      <c r="E162" s="11"/>
      <c r="F162" s="11"/>
      <c r="G162" s="7"/>
      <c r="H162" s="15"/>
      <c r="I162" s="15"/>
      <c r="J162" s="11"/>
      <c r="K162" s="11"/>
    </row>
    <row r="163" ht="22" customHeight="1" spans="1:11" x14ac:dyDescent="0.25">
      <c r="A163" s="16"/>
      <c r="B163" s="15"/>
      <c r="C163" s="15"/>
      <c r="D163" s="11"/>
      <c r="E163" s="11"/>
      <c r="F163" s="11"/>
      <c r="G163" s="7"/>
      <c r="H163" s="15"/>
      <c r="I163" s="15"/>
      <c r="J163" s="11"/>
      <c r="K163" s="11"/>
    </row>
    <row r="164" ht="22" customHeight="1" spans="1:11" x14ac:dyDescent="0.25">
      <c r="A164" s="16"/>
      <c r="B164" s="15"/>
      <c r="C164" s="15"/>
      <c r="D164" s="11"/>
      <c r="E164" s="11"/>
      <c r="F164" s="11"/>
      <c r="G164" s="7"/>
      <c r="H164" s="15"/>
      <c r="I164" s="15"/>
      <c r="J164" s="11"/>
      <c r="K164" s="11"/>
    </row>
    <row r="165" ht="22" customHeight="1" spans="1:11" x14ac:dyDescent="0.25">
      <c r="A165" s="16"/>
      <c r="B165" s="15"/>
      <c r="C165" s="15"/>
      <c r="D165" s="11"/>
      <c r="E165" s="11"/>
      <c r="F165" s="11"/>
      <c r="G165" s="7"/>
      <c r="H165" s="15"/>
      <c r="I165" s="15"/>
      <c r="J165" s="11"/>
      <c r="K165" s="11"/>
    </row>
    <row r="166" ht="22" customHeight="1" spans="1:11" x14ac:dyDescent="0.25">
      <c r="A166" s="16"/>
      <c r="B166" s="15"/>
      <c r="C166" s="15"/>
      <c r="D166" s="11"/>
      <c r="E166" s="11"/>
      <c r="F166" s="11"/>
      <c r="G166" s="7"/>
      <c r="H166" s="15"/>
      <c r="I166" s="15"/>
      <c r="J166" s="11"/>
      <c r="K166" s="11"/>
    </row>
    <row r="167" ht="22" customHeight="1" spans="1:11" x14ac:dyDescent="0.25">
      <c r="A167" s="16"/>
      <c r="B167" s="15"/>
      <c r="C167" s="15"/>
      <c r="D167" s="11"/>
      <c r="E167" s="11"/>
      <c r="F167" s="11"/>
      <c r="G167" s="7"/>
      <c r="H167" s="15"/>
      <c r="I167" s="15"/>
      <c r="J167" s="11"/>
      <c r="K167" s="11"/>
    </row>
    <row r="168" ht="22" customHeight="1" spans="1:11" x14ac:dyDescent="0.25">
      <c r="A168" s="16"/>
      <c r="B168" s="15"/>
      <c r="C168" s="15"/>
      <c r="D168" s="11"/>
      <c r="E168" s="11"/>
      <c r="F168" s="11"/>
      <c r="G168" s="7"/>
      <c r="H168" s="15"/>
      <c r="I168" s="15"/>
      <c r="J168" s="11"/>
      <c r="K168" s="11"/>
    </row>
    <row r="169" ht="22" customHeight="1" spans="1:11" x14ac:dyDescent="0.25">
      <c r="A169" s="16"/>
      <c r="B169" s="15"/>
      <c r="C169" s="15"/>
      <c r="D169" s="11"/>
      <c r="E169" s="11"/>
      <c r="F169" s="11"/>
      <c r="G169" s="7"/>
      <c r="H169" s="15"/>
      <c r="I169" s="15"/>
      <c r="J169" s="11"/>
      <c r="K169" s="11"/>
    </row>
    <row r="170" ht="22" customHeight="1" spans="1:11" x14ac:dyDescent="0.25">
      <c r="A170" s="16"/>
      <c r="B170" s="15"/>
      <c r="C170" s="15"/>
      <c r="D170" s="11"/>
      <c r="E170" s="11"/>
      <c r="F170" s="11"/>
      <c r="G170" s="7"/>
      <c r="H170" s="15"/>
      <c r="I170" s="15"/>
      <c r="J170" s="11"/>
      <c r="K170" s="11"/>
    </row>
    <row r="171" ht="22" customHeight="1" spans="1:11" x14ac:dyDescent="0.25">
      <c r="A171" s="16"/>
      <c r="B171" s="15"/>
      <c r="C171" s="15"/>
      <c r="D171" s="11"/>
      <c r="E171" s="11"/>
      <c r="F171" s="11"/>
      <c r="G171" s="7"/>
      <c r="H171" s="15"/>
      <c r="I171" s="15"/>
      <c r="J171" s="11"/>
      <c r="K171" s="11"/>
    </row>
    <row r="172" ht="22" customHeight="1" spans="1:11" x14ac:dyDescent="0.25">
      <c r="A172" s="16"/>
      <c r="B172" s="15"/>
      <c r="C172" s="15"/>
      <c r="D172" s="11"/>
      <c r="E172" s="11"/>
      <c r="F172" s="11"/>
      <c r="G172" s="7"/>
      <c r="H172" s="15"/>
      <c r="I172" s="15"/>
      <c r="J172" s="11"/>
      <c r="K172" s="11"/>
    </row>
    <row r="173" ht="22" customHeight="1" spans="1:11" x14ac:dyDescent="0.25">
      <c r="A173" s="16"/>
      <c r="B173" s="15"/>
      <c r="C173" s="15"/>
      <c r="D173" s="11"/>
      <c r="E173" s="11"/>
      <c r="F173" s="11"/>
      <c r="G173" s="7"/>
      <c r="H173" s="15"/>
      <c r="I173" s="15"/>
      <c r="J173" s="11"/>
      <c r="K173" s="11"/>
    </row>
    <row r="174" ht="22" customHeight="1" spans="1:11" x14ac:dyDescent="0.25">
      <c r="A174" s="16"/>
      <c r="B174" s="15"/>
      <c r="C174" s="15"/>
      <c r="D174" s="11"/>
      <c r="E174" s="11"/>
      <c r="F174" s="11"/>
      <c r="G174" s="7"/>
      <c r="H174" s="15"/>
      <c r="I174" s="15"/>
      <c r="J174" s="11"/>
      <c r="K174" s="11"/>
    </row>
    <row r="175" ht="22" customHeight="1" spans="1:11" x14ac:dyDescent="0.25">
      <c r="A175" s="16"/>
      <c r="B175" s="15"/>
      <c r="C175" s="15"/>
      <c r="D175" s="11"/>
      <c r="E175" s="11"/>
      <c r="F175" s="11"/>
      <c r="G175" s="7"/>
      <c r="H175" s="15"/>
      <c r="I175" s="15"/>
      <c r="J175" s="11"/>
      <c r="K175" s="11"/>
    </row>
    <row r="176" ht="22" customHeight="1" spans="1:11" x14ac:dyDescent="0.25">
      <c r="A176" s="16"/>
      <c r="B176" s="15"/>
      <c r="C176" s="15"/>
      <c r="D176" s="11"/>
      <c r="E176" s="11"/>
      <c r="F176" s="11"/>
      <c r="G176" s="7"/>
      <c r="H176" s="15"/>
      <c r="I176" s="15"/>
      <c r="J176" s="11"/>
      <c r="K176" s="11"/>
    </row>
    <row r="177" ht="22" customHeight="1" spans="1:11" x14ac:dyDescent="0.25">
      <c r="A177" s="16"/>
      <c r="B177" s="15"/>
      <c r="C177" s="15"/>
      <c r="D177" s="11"/>
      <c r="E177" s="11"/>
      <c r="F177" s="11"/>
      <c r="G177" s="7"/>
      <c r="H177" s="15"/>
      <c r="I177" s="15"/>
      <c r="J177" s="11"/>
      <c r="K177" s="11"/>
    </row>
    <row r="178" ht="22" customHeight="1" spans="1:11" x14ac:dyDescent="0.25">
      <c r="A178" s="16"/>
      <c r="B178" s="15"/>
      <c r="C178" s="15"/>
      <c r="D178" s="11"/>
      <c r="E178" s="11"/>
      <c r="F178" s="11"/>
      <c r="G178" s="7"/>
      <c r="H178" s="15"/>
      <c r="I178" s="15"/>
      <c r="J178" s="11"/>
      <c r="K178" s="11"/>
    </row>
    <row r="179" ht="22" customHeight="1" spans="1:11" x14ac:dyDescent="0.25">
      <c r="A179" s="16"/>
      <c r="B179" s="15"/>
      <c r="C179" s="15"/>
      <c r="D179" s="11"/>
      <c r="E179" s="11"/>
      <c r="F179" s="11"/>
      <c r="G179" s="7"/>
      <c r="H179" s="15"/>
      <c r="I179" s="15"/>
      <c r="J179" s="11"/>
      <c r="K179" s="11"/>
    </row>
    <row r="180" ht="22" customHeight="1" spans="1:11" x14ac:dyDescent="0.25">
      <c r="A180" s="16"/>
      <c r="B180" s="15"/>
      <c r="C180" s="15"/>
      <c r="D180" s="11"/>
      <c r="E180" s="11"/>
      <c r="F180" s="11"/>
      <c r="G180" s="7"/>
      <c r="H180" s="15"/>
      <c r="I180" s="15"/>
      <c r="J180" s="11"/>
      <c r="K180" s="11"/>
    </row>
    <row r="181" ht="22" customHeight="1" spans="1:11" x14ac:dyDescent="0.25">
      <c r="A181" s="16"/>
      <c r="B181" s="15"/>
      <c r="C181" s="15"/>
      <c r="D181" s="11"/>
      <c r="E181" s="11"/>
      <c r="F181" s="11"/>
      <c r="G181" s="7"/>
      <c r="H181" s="15"/>
      <c r="I181" s="15"/>
      <c r="J181" s="11"/>
      <c r="K181" s="11"/>
    </row>
    <row r="182" ht="22" customHeight="1" spans="1:11" x14ac:dyDescent="0.25">
      <c r="A182" s="16"/>
      <c r="B182" s="15"/>
      <c r="C182" s="15"/>
      <c r="D182" s="11"/>
      <c r="E182" s="11"/>
      <c r="F182" s="11"/>
      <c r="G182" s="7"/>
      <c r="H182" s="15"/>
      <c r="I182" s="15"/>
      <c r="J182" s="11"/>
      <c r="K182" s="11"/>
    </row>
    <row r="183" ht="22" customHeight="1" spans="1:11" x14ac:dyDescent="0.25">
      <c r="A183" s="16"/>
      <c r="B183" s="15"/>
      <c r="C183" s="15"/>
      <c r="D183" s="11"/>
      <c r="E183" s="11"/>
      <c r="F183" s="11"/>
      <c r="G183" s="7"/>
      <c r="H183" s="15"/>
      <c r="I183" s="15"/>
      <c r="J183" s="11"/>
      <c r="K183" s="11"/>
    </row>
    <row r="184" ht="22" customHeight="1" spans="1:11" x14ac:dyDescent="0.25">
      <c r="A184" s="16"/>
      <c r="B184" s="15"/>
      <c r="C184" s="15"/>
      <c r="D184" s="11"/>
      <c r="E184" s="11"/>
      <c r="F184" s="11"/>
      <c r="G184" s="7"/>
      <c r="H184" s="15"/>
      <c r="I184" s="15"/>
      <c r="J184" s="11"/>
      <c r="K184" s="11"/>
    </row>
    <row r="185" ht="22" customHeight="1" spans="1:11" x14ac:dyDescent="0.25">
      <c r="A185" s="16"/>
      <c r="B185" s="15"/>
      <c r="C185" s="15"/>
      <c r="D185" s="11"/>
      <c r="E185" s="11"/>
      <c r="F185" s="11"/>
      <c r="G185" s="7"/>
      <c r="H185" s="15"/>
      <c r="I185" s="15"/>
      <c r="J185" s="11"/>
      <c r="K185" s="11"/>
    </row>
    <row r="186" ht="22" customHeight="1" spans="1:11" x14ac:dyDescent="0.25">
      <c r="A186" s="16"/>
      <c r="B186" s="15"/>
      <c r="C186" s="15"/>
      <c r="D186" s="11"/>
      <c r="E186" s="11"/>
      <c r="F186" s="11"/>
      <c r="G186" s="7"/>
      <c r="H186" s="15"/>
      <c r="I186" s="15"/>
      <c r="J186" s="11"/>
      <c r="K186" s="11"/>
    </row>
    <row r="187" ht="22" customHeight="1" spans="1:11" x14ac:dyDescent="0.25">
      <c r="A187" s="16"/>
      <c r="B187" s="15"/>
      <c r="C187" s="15"/>
      <c r="D187" s="11"/>
      <c r="E187" s="11"/>
      <c r="F187" s="11"/>
      <c r="G187" s="7"/>
      <c r="H187" s="15"/>
      <c r="I187" s="15"/>
      <c r="J187" s="11"/>
      <c r="K187" s="11"/>
    </row>
    <row r="188" ht="22" customHeight="1" spans="1:11" x14ac:dyDescent="0.25">
      <c r="A188" s="16"/>
      <c r="B188" s="15"/>
      <c r="C188" s="15"/>
      <c r="D188" s="11"/>
      <c r="E188" s="11"/>
      <c r="F188" s="11"/>
      <c r="G188" s="7"/>
      <c r="H188" s="15"/>
      <c r="I188" s="15"/>
      <c r="J188" s="11"/>
      <c r="K188" s="11"/>
    </row>
    <row r="189" ht="22" customHeight="1" spans="1:11" x14ac:dyDescent="0.25">
      <c r="A189" s="16"/>
      <c r="B189" s="15"/>
      <c r="C189" s="15"/>
      <c r="D189" s="11"/>
      <c r="E189" s="11"/>
      <c r="F189" s="11"/>
      <c r="G189" s="7"/>
      <c r="H189" s="15"/>
      <c r="I189" s="15"/>
      <c r="J189" s="11"/>
      <c r="K189" s="11"/>
    </row>
    <row r="190" ht="22" customHeight="1" spans="1:11" x14ac:dyDescent="0.25">
      <c r="A190" s="16"/>
      <c r="B190" s="15"/>
      <c r="C190" s="15"/>
      <c r="D190" s="11"/>
      <c r="E190" s="11"/>
      <c r="F190" s="11"/>
      <c r="G190" s="7"/>
      <c r="H190" s="15"/>
      <c r="I190" s="15"/>
      <c r="J190" s="11"/>
      <c r="K190" s="11"/>
    </row>
    <row r="191" ht="22" customHeight="1" spans="1:11" x14ac:dyDescent="0.25">
      <c r="A191" s="16"/>
      <c r="B191" s="15"/>
      <c r="C191" s="15"/>
      <c r="D191" s="11"/>
      <c r="E191" s="11"/>
      <c r="F191" s="11"/>
      <c r="G191" s="7"/>
      <c r="H191" s="15"/>
      <c r="I191" s="15"/>
      <c r="J191" s="11"/>
      <c r="K191" s="11"/>
    </row>
    <row r="192" ht="22" customHeight="1" spans="1:11" x14ac:dyDescent="0.25">
      <c r="A192" s="16"/>
      <c r="B192" s="15"/>
      <c r="C192" s="15"/>
      <c r="D192" s="11"/>
      <c r="E192" s="11"/>
      <c r="F192" s="11"/>
      <c r="G192" s="7"/>
      <c r="H192" s="15"/>
      <c r="I192" s="15"/>
      <c r="J192" s="11"/>
      <c r="K192" s="11"/>
    </row>
    <row r="193" ht="22" customHeight="1" spans="1:11" x14ac:dyDescent="0.25">
      <c r="A193" s="16"/>
      <c r="B193" s="15"/>
      <c r="C193" s="15"/>
      <c r="D193" s="11"/>
      <c r="E193" s="11"/>
      <c r="F193" s="11"/>
      <c r="G193" s="7"/>
      <c r="H193" s="15"/>
      <c r="I193" s="15"/>
      <c r="J193" s="11"/>
      <c r="K193" s="11"/>
    </row>
    <row r="194" ht="22" customHeight="1" spans="1:11" x14ac:dyDescent="0.25">
      <c r="A194" s="16"/>
      <c r="B194" s="15"/>
      <c r="C194" s="15"/>
      <c r="D194" s="11"/>
      <c r="E194" s="11"/>
      <c r="F194" s="11"/>
      <c r="G194" s="7"/>
      <c r="H194" s="15"/>
      <c r="I194" s="15"/>
      <c r="J194" s="11"/>
      <c r="K194" s="11"/>
    </row>
    <row r="195" ht="22" customHeight="1" spans="1:11" x14ac:dyDescent="0.25">
      <c r="A195" s="16"/>
      <c r="B195" s="15"/>
      <c r="C195" s="15"/>
      <c r="D195" s="11"/>
      <c r="E195" s="11"/>
      <c r="F195" s="11"/>
      <c r="G195" s="7"/>
      <c r="H195" s="15"/>
      <c r="I195" s="15"/>
      <c r="J195" s="11"/>
      <c r="K195" s="11"/>
    </row>
    <row r="196" ht="22" customHeight="1" spans="1:11" x14ac:dyDescent="0.25">
      <c r="A196" s="16"/>
      <c r="B196" s="15"/>
      <c r="C196" s="15"/>
      <c r="D196" s="11"/>
      <c r="E196" s="11"/>
      <c r="F196" s="11"/>
      <c r="G196" s="7"/>
      <c r="H196" s="15"/>
      <c r="I196" s="15"/>
      <c r="J196" s="11"/>
      <c r="K196" s="11"/>
    </row>
    <row r="197" ht="22" customHeight="1" spans="1:11" x14ac:dyDescent="0.25">
      <c r="A197" s="16"/>
      <c r="B197" s="15"/>
      <c r="C197" s="15"/>
      <c r="D197" s="11"/>
      <c r="E197" s="11"/>
      <c r="F197" s="11"/>
      <c r="G197" s="7"/>
      <c r="H197" s="15"/>
      <c r="I197" s="15"/>
      <c r="J197" s="11"/>
      <c r="K197" s="11"/>
    </row>
    <row r="198" ht="22" customHeight="1" spans="1:11" x14ac:dyDescent="0.25">
      <c r="A198" s="16"/>
      <c r="B198" s="15"/>
      <c r="C198" s="15"/>
      <c r="D198" s="11"/>
      <c r="E198" s="11"/>
      <c r="F198" s="11"/>
      <c r="G198" s="7"/>
      <c r="H198" s="15"/>
      <c r="I198" s="15"/>
      <c r="J198" s="11"/>
      <c r="K198" s="11"/>
    </row>
    <row r="199" ht="22" customHeight="1" spans="1:11" x14ac:dyDescent="0.25">
      <c r="A199" s="16"/>
      <c r="B199" s="15"/>
      <c r="C199" s="15"/>
      <c r="D199" s="11"/>
      <c r="E199" s="11"/>
      <c r="F199" s="11"/>
      <c r="G199" s="7"/>
      <c r="H199" s="15"/>
      <c r="I199" s="15"/>
      <c r="J199" s="11"/>
      <c r="K199" s="11"/>
    </row>
    <row r="200" ht="22" customHeight="1" spans="1:11" x14ac:dyDescent="0.25">
      <c r="A200" s="16"/>
      <c r="B200" s="15"/>
      <c r="C200" s="15"/>
      <c r="D200" s="11"/>
      <c r="E200" s="11"/>
      <c r="F200" s="11"/>
      <c r="G200" s="7"/>
      <c r="H200" s="15"/>
      <c r="I200" s="15"/>
      <c r="J200" s="11"/>
      <c r="K200" s="11"/>
    </row>
    <row r="201" ht="22" customHeight="1" spans="1:11" x14ac:dyDescent="0.25">
      <c r="A201" s="16"/>
      <c r="B201" s="15"/>
      <c r="C201" s="15"/>
      <c r="D201" s="11"/>
      <c r="E201" s="11"/>
      <c r="F201" s="11"/>
      <c r="G201" s="7"/>
      <c r="H201" s="15"/>
      <c r="I201" s="15"/>
      <c r="J201" s="11"/>
      <c r="K201" s="11"/>
    </row>
    <row r="202" ht="22" customHeight="1" spans="1:11" x14ac:dyDescent="0.25">
      <c r="A202" s="16"/>
      <c r="B202" s="15"/>
      <c r="C202" s="15"/>
      <c r="D202" s="11"/>
      <c r="E202" s="11"/>
      <c r="F202" s="11"/>
      <c r="G202" s="7"/>
      <c r="H202" s="15"/>
      <c r="I202" s="15"/>
      <c r="J202" s="11"/>
      <c r="K202" s="11"/>
    </row>
    <row r="203" ht="22" customHeight="1" spans="1:11" x14ac:dyDescent="0.25">
      <c r="A203" s="16"/>
      <c r="B203" s="15"/>
      <c r="C203" s="15"/>
      <c r="D203" s="11"/>
      <c r="E203" s="11"/>
      <c r="F203" s="11"/>
      <c r="G203" s="7"/>
      <c r="H203" s="15"/>
      <c r="I203" s="15"/>
      <c r="J203" s="11"/>
      <c r="K203" s="11"/>
    </row>
    <row r="204" ht="22" customHeight="1" spans="1:11" x14ac:dyDescent="0.25">
      <c r="A204" s="16"/>
      <c r="B204" s="15"/>
      <c r="C204" s="15"/>
      <c r="D204" s="11"/>
      <c r="E204" s="11"/>
      <c r="F204" s="11"/>
      <c r="G204" s="7"/>
      <c r="H204" s="15"/>
      <c r="I204" s="15"/>
      <c r="J204" s="11"/>
      <c r="K204" s="11"/>
    </row>
    <row r="205" ht="22" customHeight="1" spans="1:11" x14ac:dyDescent="0.25">
      <c r="A205" s="16"/>
      <c r="B205" s="15"/>
      <c r="C205" s="15"/>
      <c r="D205" s="11"/>
      <c r="E205" s="11"/>
      <c r="F205" s="11"/>
      <c r="G205" s="7"/>
      <c r="H205" s="15"/>
      <c r="I205" s="15"/>
      <c r="J205" s="11"/>
      <c r="K205" s="11"/>
    </row>
    <row r="206" ht="22" customHeight="1" spans="1:11" x14ac:dyDescent="0.25">
      <c r="A206" s="16"/>
      <c r="B206" s="15"/>
      <c r="C206" s="15"/>
      <c r="D206" s="11"/>
      <c r="E206" s="11"/>
      <c r="F206" s="11"/>
      <c r="G206" s="7"/>
      <c r="H206" s="15"/>
      <c r="I206" s="15"/>
      <c r="J206" s="11"/>
      <c r="K206" s="11"/>
    </row>
    <row r="207" ht="22" customHeight="1" spans="1:11" x14ac:dyDescent="0.25">
      <c r="A207" s="16"/>
      <c r="B207" s="15"/>
      <c r="C207" s="15"/>
      <c r="D207" s="11"/>
      <c r="E207" s="11"/>
      <c r="F207" s="11"/>
      <c r="G207" s="7"/>
      <c r="H207" s="15"/>
      <c r="I207" s="15"/>
      <c r="J207" s="11"/>
      <c r="K207" s="11"/>
    </row>
    <row r="208" ht="22" customHeight="1" spans="1:11" x14ac:dyDescent="0.25">
      <c r="A208" s="16"/>
      <c r="B208" s="15"/>
      <c r="C208" s="15"/>
      <c r="D208" s="11"/>
      <c r="E208" s="11"/>
      <c r="F208" s="11"/>
      <c r="G208" s="7"/>
      <c r="H208" s="15"/>
      <c r="I208" s="15"/>
      <c r="J208" s="11"/>
      <c r="K208" s="11"/>
    </row>
    <row r="209" ht="22" customHeight="1" spans="1:11" x14ac:dyDescent="0.25">
      <c r="A209" s="16"/>
      <c r="B209" s="15"/>
      <c r="C209" s="15"/>
      <c r="D209" s="11"/>
      <c r="E209" s="11"/>
      <c r="F209" s="11"/>
      <c r="G209" s="7"/>
      <c r="H209" s="15"/>
      <c r="I209" s="15"/>
      <c r="J209" s="11"/>
      <c r="K209" s="11"/>
    </row>
    <row r="210" ht="22" customHeight="1" spans="1:11" x14ac:dyDescent="0.25">
      <c r="A210" s="16"/>
      <c r="B210" s="15"/>
      <c r="C210" s="15"/>
      <c r="D210" s="11"/>
      <c r="E210" s="11"/>
      <c r="F210" s="11"/>
      <c r="G210" s="7"/>
      <c r="H210" s="15"/>
      <c r="I210" s="15"/>
      <c r="J210" s="11"/>
      <c r="K210" s="11"/>
    </row>
    <row r="211" ht="22" customHeight="1" spans="1:11" x14ac:dyDescent="0.25">
      <c r="A211" s="16"/>
      <c r="B211" s="15"/>
      <c r="C211" s="15"/>
      <c r="D211" s="11"/>
      <c r="E211" s="11"/>
      <c r="F211" s="11"/>
      <c r="G211" s="7"/>
      <c r="H211" s="15"/>
      <c r="I211" s="15"/>
      <c r="J211" s="11"/>
      <c r="K211" s="11"/>
    </row>
    <row r="212" ht="22" customHeight="1" spans="1:11" x14ac:dyDescent="0.25">
      <c r="A212" s="16"/>
      <c r="B212" s="15"/>
      <c r="C212" s="15"/>
      <c r="D212" s="11"/>
      <c r="E212" s="11"/>
      <c r="F212" s="11"/>
      <c r="G212" s="7"/>
      <c r="H212" s="15"/>
      <c r="I212" s="15"/>
      <c r="J212" s="11"/>
      <c r="K212" s="11"/>
    </row>
    <row r="213" ht="22" customHeight="1" spans="1:11" x14ac:dyDescent="0.25">
      <c r="A213" s="16"/>
      <c r="B213" s="15"/>
      <c r="C213" s="15"/>
      <c r="D213" s="11"/>
      <c r="E213" s="11"/>
      <c r="F213" s="11"/>
      <c r="G213" s="7"/>
      <c r="H213" s="15"/>
      <c r="I213" s="15"/>
      <c r="J213" s="11"/>
      <c r="K213" s="11"/>
    </row>
    <row r="214" ht="22" customHeight="1" spans="1:11" x14ac:dyDescent="0.25">
      <c r="A214" s="16"/>
      <c r="B214" s="15"/>
      <c r="C214" s="15"/>
      <c r="D214" s="11"/>
      <c r="E214" s="11"/>
      <c r="F214" s="11"/>
      <c r="G214" s="7"/>
      <c r="H214" s="15"/>
      <c r="I214" s="15"/>
      <c r="J214" s="11"/>
      <c r="K214" s="11"/>
    </row>
    <row r="215" ht="22" customHeight="1" spans="1:11" x14ac:dyDescent="0.25">
      <c r="A215" s="16"/>
      <c r="B215" s="15"/>
      <c r="C215" s="15"/>
      <c r="D215" s="11"/>
      <c r="E215" s="11"/>
      <c r="F215" s="11"/>
      <c r="G215" s="7"/>
      <c r="H215" s="15"/>
      <c r="I215" s="15"/>
      <c r="J215" s="11"/>
      <c r="K215" s="11"/>
    </row>
    <row r="216" ht="22" customHeight="1" spans="1:11" x14ac:dyDescent="0.25">
      <c r="A216" s="16"/>
      <c r="B216" s="15"/>
      <c r="C216" s="15"/>
      <c r="D216" s="11"/>
      <c r="E216" s="11"/>
      <c r="F216" s="11"/>
      <c r="G216" s="7"/>
      <c r="H216" s="15"/>
      <c r="I216" s="15"/>
      <c r="J216" s="11"/>
      <c r="K216" s="11"/>
    </row>
    <row r="217" ht="22" customHeight="1" spans="1:11" x14ac:dyDescent="0.25">
      <c r="A217" s="16"/>
      <c r="B217" s="15"/>
      <c r="C217" s="15"/>
      <c r="D217" s="11"/>
      <c r="E217" s="11"/>
      <c r="F217" s="11"/>
      <c r="G217" s="7"/>
      <c r="H217" s="15"/>
      <c r="I217" s="15"/>
      <c r="J217" s="11"/>
      <c r="K217" s="11"/>
    </row>
    <row r="218" ht="22" customHeight="1" spans="1:11" x14ac:dyDescent="0.25">
      <c r="A218" s="16"/>
      <c r="B218" s="15"/>
      <c r="C218" s="15"/>
      <c r="D218" s="11"/>
      <c r="E218" s="11"/>
      <c r="F218" s="11"/>
      <c r="G218" s="7"/>
      <c r="H218" s="15"/>
      <c r="I218" s="15"/>
      <c r="J218" s="11"/>
      <c r="K218" s="11"/>
    </row>
    <row r="219" ht="22" customHeight="1" spans="1:11" x14ac:dyDescent="0.25">
      <c r="A219" s="16"/>
      <c r="B219" s="15"/>
      <c r="C219" s="15"/>
      <c r="D219" s="11"/>
      <c r="E219" s="11"/>
      <c r="F219" s="11"/>
      <c r="G219" s="7"/>
      <c r="H219" s="15"/>
      <c r="I219" s="15"/>
      <c r="J219" s="11"/>
      <c r="K219" s="11"/>
    </row>
    <row r="220" ht="22" customHeight="1" spans="1:11" x14ac:dyDescent="0.25">
      <c r="A220" s="16"/>
      <c r="B220" s="15"/>
      <c r="C220" s="15"/>
      <c r="D220" s="11"/>
      <c r="E220" s="11"/>
      <c r="F220" s="11"/>
      <c r="G220" s="7"/>
      <c r="H220" s="15"/>
      <c r="I220" s="15"/>
      <c r="J220" s="11"/>
      <c r="K220" s="11"/>
    </row>
    <row r="221" ht="22" customHeight="1" spans="1:11" x14ac:dyDescent="0.25">
      <c r="A221" s="16"/>
      <c r="B221" s="15"/>
      <c r="C221" s="15"/>
      <c r="D221" s="11"/>
      <c r="E221" s="11"/>
      <c r="F221" s="11"/>
      <c r="G221" s="7"/>
      <c r="H221" s="15"/>
      <c r="I221" s="15"/>
      <c r="J221" s="11"/>
      <c r="K221" s="11"/>
    </row>
    <row r="222" ht="22" customHeight="1" spans="1:11" x14ac:dyDescent="0.25">
      <c r="A222" s="16"/>
      <c r="B222" s="15"/>
      <c r="C222" s="15"/>
      <c r="D222" s="11"/>
      <c r="E222" s="11"/>
      <c r="F222" s="11"/>
      <c r="G222" s="7"/>
      <c r="H222" s="15"/>
      <c r="I222" s="15"/>
      <c r="J222" s="11"/>
      <c r="K222" s="11"/>
    </row>
    <row r="223" ht="22" customHeight="1" spans="1:11" x14ac:dyDescent="0.25">
      <c r="A223" s="16"/>
      <c r="B223" s="15"/>
      <c r="C223" s="15"/>
      <c r="D223" s="11"/>
      <c r="E223" s="11"/>
      <c r="F223" s="11"/>
      <c r="G223" s="7"/>
      <c r="H223" s="15"/>
      <c r="I223" s="15"/>
      <c r="J223" s="11"/>
      <c r="K223" s="11"/>
    </row>
    <row r="224" ht="22" customHeight="1" spans="1:11" x14ac:dyDescent="0.25">
      <c r="A224" s="16"/>
      <c r="B224" s="15"/>
      <c r="C224" s="15"/>
      <c r="D224" s="11"/>
      <c r="E224" s="11"/>
      <c r="F224" s="11"/>
      <c r="G224" s="7"/>
      <c r="H224" s="15"/>
      <c r="I224" s="15"/>
      <c r="J224" s="11"/>
      <c r="K224" s="11"/>
    </row>
    <row r="225" ht="22" customHeight="1" spans="1:11" x14ac:dyDescent="0.25">
      <c r="A225" s="16"/>
      <c r="B225" s="15"/>
      <c r="C225" s="15"/>
      <c r="D225" s="11"/>
      <c r="E225" s="11"/>
      <c r="F225" s="11"/>
      <c r="G225" s="7"/>
      <c r="H225" s="15"/>
      <c r="I225" s="15"/>
      <c r="J225" s="11"/>
      <c r="K225" s="11"/>
    </row>
    <row r="226" ht="22" customHeight="1" spans="1:11" x14ac:dyDescent="0.25">
      <c r="A226" s="16"/>
      <c r="B226" s="15"/>
      <c r="C226" s="15"/>
      <c r="D226" s="11"/>
      <c r="E226" s="11"/>
      <c r="F226" s="11"/>
      <c r="G226" s="7"/>
      <c r="H226" s="15"/>
      <c r="I226" s="15"/>
      <c r="J226" s="11"/>
      <c r="K226" s="11"/>
    </row>
    <row r="227" ht="22" customHeight="1" spans="1:11" x14ac:dyDescent="0.25">
      <c r="A227" s="16"/>
      <c r="B227" s="15"/>
      <c r="C227" s="15"/>
      <c r="D227" s="11"/>
      <c r="E227" s="11"/>
      <c r="F227" s="11"/>
      <c r="G227" s="7"/>
      <c r="H227" s="15"/>
      <c r="I227" s="15"/>
      <c r="J227" s="11"/>
      <c r="K227" s="11"/>
    </row>
    <row r="228" ht="22" customHeight="1" spans="1:11" x14ac:dyDescent="0.25">
      <c r="A228" s="16"/>
      <c r="B228" s="15"/>
      <c r="C228" s="15"/>
      <c r="D228" s="11"/>
      <c r="E228" s="11"/>
      <c r="F228" s="11"/>
      <c r="G228" s="7"/>
      <c r="H228" s="15"/>
      <c r="I228" s="15"/>
      <c r="J228" s="11"/>
      <c r="K228" s="11"/>
    </row>
    <row r="229" ht="22" customHeight="1" spans="1:11" x14ac:dyDescent="0.25">
      <c r="A229" s="16"/>
      <c r="B229" s="15"/>
      <c r="C229" s="15"/>
      <c r="D229" s="11"/>
      <c r="E229" s="11"/>
      <c r="F229" s="11"/>
      <c r="G229" s="7"/>
      <c r="H229" s="15"/>
      <c r="I229" s="15"/>
      <c r="J229" s="11"/>
      <c r="K229" s="11"/>
    </row>
    <row r="230" ht="22" customHeight="1" spans="1:11" x14ac:dyDescent="0.25">
      <c r="A230" s="16"/>
      <c r="B230" s="15"/>
      <c r="C230" s="15"/>
      <c r="D230" s="11"/>
      <c r="E230" s="11"/>
      <c r="F230" s="11"/>
      <c r="G230" s="7"/>
      <c r="H230" s="15"/>
      <c r="I230" s="15"/>
      <c r="J230" s="11"/>
      <c r="K230" s="11"/>
    </row>
    <row r="231" ht="22" customHeight="1" spans="1:11" x14ac:dyDescent="0.25">
      <c r="A231" s="16"/>
      <c r="B231" s="15"/>
      <c r="C231" s="15"/>
      <c r="D231" s="11"/>
      <c r="E231" s="11"/>
      <c r="F231" s="11"/>
      <c r="G231" s="7"/>
      <c r="H231" s="15"/>
      <c r="I231" s="15"/>
      <c r="J231" s="11"/>
      <c r="K231" s="11"/>
    </row>
    <row r="232" ht="22" customHeight="1" spans="1:11" x14ac:dyDescent="0.25">
      <c r="A232" s="16"/>
      <c r="B232" s="15"/>
      <c r="C232" s="15"/>
      <c r="D232" s="11"/>
      <c r="E232" s="11"/>
      <c r="F232" s="11"/>
      <c r="G232" s="7"/>
      <c r="H232" s="15"/>
      <c r="I232" s="15"/>
      <c r="J232" s="11"/>
      <c r="K232" s="11"/>
    </row>
    <row r="233" ht="22" customHeight="1" spans="1:11" x14ac:dyDescent="0.25">
      <c r="A233" s="16"/>
      <c r="B233" s="15"/>
      <c r="C233" s="15"/>
      <c r="D233" s="11"/>
      <c r="E233" s="11"/>
      <c r="F233" s="11"/>
      <c r="G233" s="7"/>
      <c r="H233" s="15"/>
      <c r="I233" s="15"/>
      <c r="J233" s="11"/>
      <c r="K233" s="11"/>
    </row>
    <row r="234" ht="22" customHeight="1" spans="1:11" x14ac:dyDescent="0.25">
      <c r="A234" s="16"/>
      <c r="B234" s="15"/>
      <c r="C234" s="15"/>
      <c r="D234" s="11"/>
      <c r="E234" s="11"/>
      <c r="F234" s="11"/>
      <c r="G234" s="7"/>
      <c r="H234" s="15"/>
      <c r="I234" s="15"/>
      <c r="J234" s="11"/>
      <c r="K234" s="11"/>
    </row>
    <row r="235" ht="22" customHeight="1" spans="1:11" x14ac:dyDescent="0.25">
      <c r="A235" s="16"/>
      <c r="B235" s="15"/>
      <c r="C235" s="15"/>
      <c r="D235" s="11"/>
      <c r="E235" s="11"/>
      <c r="F235" s="11"/>
      <c r="G235" s="7"/>
      <c r="H235" s="15"/>
      <c r="I235" s="15"/>
      <c r="J235" s="11"/>
      <c r="K235" s="11"/>
    </row>
    <row r="236" ht="22" customHeight="1" spans="1:11" x14ac:dyDescent="0.25">
      <c r="A236" s="16"/>
      <c r="B236" s="15"/>
      <c r="C236" s="15"/>
      <c r="D236" s="11"/>
      <c r="E236" s="11"/>
      <c r="F236" s="11"/>
      <c r="G236" s="7"/>
      <c r="H236" s="15"/>
      <c r="I236" s="15"/>
      <c r="J236" s="11"/>
      <c r="K236" s="11"/>
    </row>
    <row r="237" ht="22" customHeight="1" spans="1:11" x14ac:dyDescent="0.25">
      <c r="A237" s="16"/>
      <c r="B237" s="15"/>
      <c r="C237" s="15"/>
      <c r="D237" s="11"/>
      <c r="E237" s="11"/>
      <c r="F237" s="11"/>
      <c r="G237" s="7"/>
      <c r="H237" s="15"/>
      <c r="I237" s="15"/>
      <c r="J237" s="11"/>
      <c r="K237" s="11"/>
    </row>
    <row r="238" ht="22" customHeight="1" spans="1:11" x14ac:dyDescent="0.25">
      <c r="A238" s="16"/>
      <c r="B238" s="15"/>
      <c r="C238" s="15"/>
      <c r="D238" s="11"/>
      <c r="E238" s="11"/>
      <c r="F238" s="11"/>
      <c r="G238" s="7"/>
      <c r="H238" s="15"/>
      <c r="I238" s="15"/>
      <c r="J238" s="11"/>
      <c r="K238" s="11"/>
    </row>
    <row r="239" ht="22" customHeight="1" spans="1:11" x14ac:dyDescent="0.25">
      <c r="A239" s="16"/>
      <c r="B239" s="15"/>
      <c r="C239" s="15"/>
      <c r="D239" s="11"/>
      <c r="E239" s="11"/>
      <c r="F239" s="11"/>
      <c r="G239" s="7"/>
      <c r="H239" s="15"/>
      <c r="I239" s="15"/>
      <c r="J239" s="11"/>
      <c r="K239" s="11"/>
    </row>
    <row r="240" ht="22" customHeight="1" spans="1:11" x14ac:dyDescent="0.25">
      <c r="A240" s="16"/>
      <c r="B240" s="15"/>
      <c r="C240" s="15"/>
      <c r="D240" s="11"/>
      <c r="E240" s="11"/>
      <c r="F240" s="11"/>
      <c r="G240" s="7"/>
      <c r="H240" s="15"/>
      <c r="I240" s="15"/>
      <c r="J240" s="11"/>
      <c r="K240" s="11"/>
    </row>
    <row r="241" ht="22" customHeight="1" spans="1:11" x14ac:dyDescent="0.25">
      <c r="A241" s="16"/>
      <c r="B241" s="15"/>
      <c r="C241" s="15"/>
      <c r="D241" s="11"/>
      <c r="E241" s="11"/>
      <c r="F241" s="11"/>
      <c r="G241" s="7"/>
      <c r="H241" s="15"/>
      <c r="I241" s="15"/>
      <c r="J241" s="11"/>
      <c r="K241" s="11"/>
    </row>
    <row r="242" ht="22" customHeight="1" spans="1:11" x14ac:dyDescent="0.25">
      <c r="A242" s="16"/>
      <c r="B242" s="15"/>
      <c r="C242" s="15"/>
      <c r="D242" s="11"/>
      <c r="E242" s="11"/>
      <c r="F242" s="11"/>
      <c r="G242" s="7"/>
      <c r="H242" s="15"/>
      <c r="I242" s="15"/>
      <c r="J242" s="11"/>
      <c r="K242" s="11"/>
    </row>
    <row r="243" ht="22" customHeight="1" spans="1:11" x14ac:dyDescent="0.25">
      <c r="A243" s="16"/>
      <c r="B243" s="15"/>
      <c r="C243" s="15"/>
      <c r="D243" s="11"/>
      <c r="E243" s="11"/>
      <c r="F243" s="11"/>
      <c r="G243" s="7"/>
      <c r="H243" s="15"/>
      <c r="I243" s="15"/>
      <c r="J243" s="11"/>
      <c r="K243" s="11"/>
    </row>
    <row r="244" ht="22" customHeight="1" spans="1:11" x14ac:dyDescent="0.25">
      <c r="A244" s="16"/>
      <c r="B244" s="15"/>
      <c r="C244" s="15"/>
      <c r="D244" s="11"/>
      <c r="E244" s="11"/>
      <c r="F244" s="11"/>
      <c r="G244" s="7"/>
      <c r="H244" s="15"/>
      <c r="I244" s="15"/>
      <c r="J244" s="11"/>
      <c r="K244" s="11"/>
    </row>
    <row r="245" ht="22" customHeight="1" spans="1:11" x14ac:dyDescent="0.25">
      <c r="A245" s="16"/>
      <c r="B245" s="15"/>
      <c r="C245" s="15"/>
      <c r="D245" s="11"/>
      <c r="E245" s="11"/>
      <c r="F245" s="11"/>
      <c r="G245" s="7"/>
      <c r="H245" s="15"/>
      <c r="I245" s="15"/>
      <c r="J245" s="11"/>
      <c r="K245" s="11"/>
    </row>
    <row r="246" ht="22" customHeight="1" spans="1:11" x14ac:dyDescent="0.25">
      <c r="A246" s="16"/>
      <c r="B246" s="15"/>
      <c r="C246" s="15"/>
      <c r="D246" s="11"/>
      <c r="E246" s="11"/>
      <c r="F246" s="11"/>
      <c r="G246" s="7"/>
      <c r="H246" s="15"/>
      <c r="I246" s="15"/>
      <c r="J246" s="11"/>
      <c r="K246" s="11"/>
    </row>
    <row r="247" ht="22" customHeight="1" spans="1:11" x14ac:dyDescent="0.25">
      <c r="A247" s="16"/>
      <c r="B247" s="15"/>
      <c r="C247" s="15"/>
      <c r="D247" s="11"/>
      <c r="E247" s="11"/>
      <c r="F247" s="11"/>
      <c r="G247" s="7"/>
      <c r="H247" s="15"/>
      <c r="I247" s="15"/>
      <c r="J247" s="11"/>
      <c r="K247" s="11"/>
    </row>
    <row r="248" ht="22" customHeight="1" spans="1:11" x14ac:dyDescent="0.25">
      <c r="A248" s="16"/>
      <c r="B248" s="15"/>
      <c r="C248" s="15"/>
      <c r="D248" s="11"/>
      <c r="E248" s="11"/>
      <c r="F248" s="11"/>
      <c r="G248" s="7"/>
      <c r="H248" s="15"/>
      <c r="I248" s="15"/>
      <c r="J248" s="11"/>
      <c r="K248" s="11"/>
    </row>
    <row r="249" ht="22" customHeight="1" spans="1:11" x14ac:dyDescent="0.25">
      <c r="A249" s="16"/>
      <c r="B249" s="15"/>
      <c r="C249" s="15"/>
      <c r="D249" s="11"/>
      <c r="E249" s="11"/>
      <c r="F249" s="11"/>
      <c r="G249" s="7"/>
      <c r="H249" s="15"/>
      <c r="I249" s="15"/>
      <c r="J249" s="11"/>
      <c r="K249" s="11"/>
    </row>
    <row r="250" ht="22" customHeight="1" spans="1:11" x14ac:dyDescent="0.25">
      <c r="A250" s="16"/>
      <c r="B250" s="15"/>
      <c r="C250" s="15"/>
      <c r="D250" s="11"/>
      <c r="E250" s="11"/>
      <c r="F250" s="11"/>
      <c r="G250" s="7"/>
      <c r="H250" s="15"/>
      <c r="I250" s="15"/>
      <c r="J250" s="11"/>
      <c r="K250" s="11"/>
    </row>
    <row r="251" ht="22" customHeight="1" spans="1:11" x14ac:dyDescent="0.25">
      <c r="A251" s="16"/>
      <c r="B251" s="15"/>
      <c r="C251" s="15"/>
      <c r="D251" s="11"/>
      <c r="E251" s="11"/>
      <c r="F251" s="11"/>
      <c r="G251" s="7"/>
      <c r="H251" s="15"/>
      <c r="I251" s="15"/>
      <c r="J251" s="11"/>
      <c r="K251" s="11"/>
    </row>
    <row r="252" ht="22" customHeight="1" spans="1:11" x14ac:dyDescent="0.25">
      <c r="A252" s="16"/>
      <c r="B252" s="15"/>
      <c r="C252" s="15"/>
      <c r="D252" s="11"/>
      <c r="E252" s="11"/>
      <c r="F252" s="11"/>
      <c r="G252" s="7"/>
      <c r="H252" s="15"/>
      <c r="I252" s="15"/>
      <c r="J252" s="11"/>
      <c r="K252" s="11"/>
    </row>
    <row r="253" ht="22" customHeight="1" spans="1:11" x14ac:dyDescent="0.25">
      <c r="A253" s="16"/>
      <c r="B253" s="15"/>
      <c r="C253" s="15"/>
      <c r="D253" s="11"/>
      <c r="E253" s="11"/>
      <c r="F253" s="11"/>
      <c r="G253" s="7"/>
      <c r="H253" s="15"/>
      <c r="I253" s="15"/>
      <c r="J253" s="11"/>
      <c r="K253" s="11"/>
    </row>
    <row r="254" ht="22" customHeight="1" spans="1:11" x14ac:dyDescent="0.25">
      <c r="A254" s="16"/>
      <c r="B254" s="15"/>
      <c r="C254" s="15"/>
      <c r="D254" s="11"/>
      <c r="E254" s="11"/>
      <c r="F254" s="11"/>
      <c r="G254" s="7"/>
      <c r="H254" s="15"/>
      <c r="I254" s="15"/>
      <c r="J254" s="11"/>
      <c r="K254" s="11"/>
    </row>
    <row r="255" ht="22" customHeight="1" spans="1:11" x14ac:dyDescent="0.25">
      <c r="A255" s="16"/>
      <c r="B255" s="15"/>
      <c r="C255" s="15"/>
      <c r="D255" s="11"/>
      <c r="E255" s="11"/>
      <c r="F255" s="11"/>
      <c r="G255" s="7"/>
      <c r="H255" s="15"/>
      <c r="I255" s="15"/>
      <c r="J255" s="11"/>
      <c r="K255" s="11"/>
    </row>
    <row r="256" ht="22" customHeight="1" spans="1:11" x14ac:dyDescent="0.25">
      <c r="A256" s="16"/>
      <c r="B256" s="15"/>
      <c r="C256" s="15"/>
      <c r="D256" s="11"/>
      <c r="E256" s="11"/>
      <c r="F256" s="11"/>
      <c r="G256" s="7"/>
      <c r="H256" s="15"/>
      <c r="I256" s="15"/>
      <c r="J256" s="11"/>
      <c r="K256" s="11"/>
    </row>
    <row r="257" ht="22" customHeight="1" spans="1:11" x14ac:dyDescent="0.25">
      <c r="A257" s="16"/>
      <c r="B257" s="15"/>
      <c r="C257" s="15"/>
      <c r="D257" s="11"/>
      <c r="E257" s="11"/>
      <c r="F257" s="11"/>
      <c r="G257" s="7"/>
      <c r="H257" s="15"/>
      <c r="I257" s="15"/>
      <c r="J257" s="11"/>
      <c r="K257" s="11"/>
    </row>
    <row r="258" ht="22" customHeight="1" spans="1:11" x14ac:dyDescent="0.25">
      <c r="A258" s="16"/>
      <c r="B258" s="15"/>
      <c r="C258" s="15"/>
      <c r="D258" s="11"/>
      <c r="E258" s="11"/>
      <c r="F258" s="11"/>
      <c r="G258" s="7"/>
      <c r="H258" s="15"/>
      <c r="I258" s="15"/>
      <c r="J258" s="11"/>
      <c r="K258" s="11"/>
    </row>
    <row r="259" ht="22" customHeight="1" spans="1:11" x14ac:dyDescent="0.25">
      <c r="A259" s="16"/>
      <c r="B259" s="15"/>
      <c r="C259" s="15"/>
      <c r="D259" s="11"/>
      <c r="E259" s="11"/>
      <c r="F259" s="11"/>
      <c r="G259" s="7"/>
      <c r="H259" s="15"/>
      <c r="I259" s="15"/>
      <c r="J259" s="11"/>
      <c r="K259" s="11"/>
    </row>
    <row r="260" ht="22" customHeight="1" spans="1:11" x14ac:dyDescent="0.25">
      <c r="A260" s="16"/>
      <c r="B260" s="15"/>
      <c r="C260" s="15"/>
      <c r="D260" s="11"/>
      <c r="E260" s="11"/>
      <c r="F260" s="11"/>
      <c r="G260" s="7"/>
      <c r="H260" s="15"/>
      <c r="I260" s="15"/>
      <c r="J260" s="11"/>
      <c r="K260" s="11"/>
    </row>
    <row r="261" ht="22" customHeight="1" spans="1:11" x14ac:dyDescent="0.25">
      <c r="A261" s="16"/>
      <c r="B261" s="15"/>
      <c r="C261" s="15"/>
      <c r="D261" s="11"/>
      <c r="E261" s="11"/>
      <c r="F261" s="11"/>
      <c r="G261" s="7"/>
      <c r="H261" s="15"/>
      <c r="I261" s="15"/>
      <c r="J261" s="11"/>
      <c r="K261" s="11"/>
    </row>
    <row r="262" ht="22" customHeight="1" spans="1:11" x14ac:dyDescent="0.25">
      <c r="A262" s="16"/>
      <c r="B262" s="15"/>
      <c r="C262" s="15"/>
      <c r="D262" s="11"/>
      <c r="E262" s="11"/>
      <c r="F262" s="11"/>
      <c r="G262" s="7"/>
      <c r="H262" s="15"/>
      <c r="I262" s="15"/>
      <c r="J262" s="11"/>
      <c r="K262" s="11"/>
    </row>
    <row r="263" ht="22" customHeight="1" spans="1:11" x14ac:dyDescent="0.25">
      <c r="A263" s="16"/>
      <c r="B263" s="15"/>
      <c r="C263" s="15"/>
      <c r="D263" s="11"/>
      <c r="E263" s="11"/>
      <c r="F263" s="11"/>
      <c r="G263" s="7"/>
      <c r="H263" s="15"/>
      <c r="I263" s="15"/>
      <c r="J263" s="11"/>
      <c r="K263" s="11"/>
    </row>
    <row r="264" ht="22" customHeight="1" spans="1:11" x14ac:dyDescent="0.25">
      <c r="A264" s="16"/>
      <c r="B264" s="15"/>
      <c r="C264" s="15"/>
      <c r="D264" s="11"/>
      <c r="E264" s="11"/>
      <c r="F264" s="11"/>
      <c r="G264" s="7"/>
      <c r="H264" s="15"/>
      <c r="I264" s="15"/>
      <c r="J264" s="11"/>
      <c r="K264" s="11"/>
    </row>
    <row r="265" ht="22" customHeight="1" spans="1:11" x14ac:dyDescent="0.25">
      <c r="A265" s="16"/>
      <c r="B265" s="15"/>
      <c r="C265" s="15"/>
      <c r="D265" s="11"/>
      <c r="E265" s="11"/>
      <c r="F265" s="11"/>
      <c r="G265" s="7"/>
      <c r="H265" s="15"/>
      <c r="I265" s="15"/>
      <c r="J265" s="11"/>
      <c r="K265" s="11"/>
    </row>
    <row r="266" ht="22" customHeight="1" spans="1:11" x14ac:dyDescent="0.25">
      <c r="A266" s="16"/>
      <c r="B266" s="15"/>
      <c r="C266" s="15"/>
      <c r="D266" s="11"/>
      <c r="E266" s="11"/>
      <c r="F266" s="11"/>
      <c r="G266" s="7"/>
      <c r="H266" s="15"/>
      <c r="I266" s="15"/>
      <c r="J266" s="11"/>
      <c r="K266" s="11"/>
    </row>
    <row r="267" ht="22" customHeight="1" spans="1:11" x14ac:dyDescent="0.25">
      <c r="A267" s="16"/>
      <c r="B267" s="15"/>
      <c r="C267" s="15"/>
      <c r="D267" s="11"/>
      <c r="E267" s="11"/>
      <c r="F267" s="11"/>
      <c r="G267" s="7"/>
      <c r="H267" s="15"/>
      <c r="I267" s="15"/>
      <c r="J267" s="11"/>
      <c r="K267" s="11"/>
    </row>
    <row r="268" ht="22" customHeight="1" spans="1:11" x14ac:dyDescent="0.25">
      <c r="A268" s="16"/>
      <c r="B268" s="15"/>
      <c r="C268" s="15"/>
      <c r="D268" s="11"/>
      <c r="E268" s="11"/>
      <c r="F268" s="11"/>
      <c r="G268" s="7"/>
      <c r="H268" s="15"/>
      <c r="I268" s="15"/>
      <c r="J268" s="11"/>
      <c r="K268" s="11"/>
    </row>
    <row r="269" ht="22" customHeight="1" spans="1:11" x14ac:dyDescent="0.25">
      <c r="A269" s="16"/>
      <c r="B269" s="15"/>
      <c r="C269" s="15"/>
      <c r="D269" s="11"/>
      <c r="E269" s="11"/>
      <c r="F269" s="11"/>
      <c r="G269" s="7"/>
      <c r="H269" s="15"/>
      <c r="I269" s="15"/>
      <c r="J269" s="11"/>
      <c r="K269" s="11"/>
    </row>
    <row r="270" ht="22" customHeight="1" spans="1:11" x14ac:dyDescent="0.25">
      <c r="A270" s="16"/>
      <c r="B270" s="15"/>
      <c r="C270" s="15"/>
      <c r="D270" s="11"/>
      <c r="E270" s="11"/>
      <c r="F270" s="11"/>
      <c r="G270" s="7"/>
      <c r="H270" s="15"/>
      <c r="I270" s="15"/>
      <c r="J270" s="11"/>
      <c r="K270" s="11"/>
    </row>
    <row r="271" ht="22" customHeight="1" spans="1:11" x14ac:dyDescent="0.25">
      <c r="A271" s="16"/>
      <c r="B271" s="15"/>
      <c r="C271" s="15"/>
      <c r="D271" s="11"/>
      <c r="E271" s="11"/>
      <c r="F271" s="11"/>
      <c r="G271" s="7"/>
      <c r="H271" s="15"/>
      <c r="I271" s="15"/>
      <c r="J271" s="11"/>
      <c r="K271" s="11"/>
    </row>
    <row r="272" ht="22" customHeight="1" spans="1:11" x14ac:dyDescent="0.25">
      <c r="A272" s="16"/>
      <c r="B272" s="15"/>
      <c r="C272" s="15"/>
      <c r="D272" s="11"/>
      <c r="E272" s="11"/>
      <c r="F272" s="11"/>
      <c r="G272" s="7"/>
      <c r="H272" s="15"/>
      <c r="I272" s="15"/>
      <c r="J272" s="11"/>
      <c r="K272" s="11"/>
    </row>
    <row r="273" ht="22" customHeight="1" spans="1:11" x14ac:dyDescent="0.25">
      <c r="A273" s="16"/>
      <c r="B273" s="15"/>
      <c r="C273" s="15"/>
      <c r="D273" s="11"/>
      <c r="E273" s="11"/>
      <c r="F273" s="11"/>
      <c r="G273" s="7"/>
      <c r="H273" s="15"/>
      <c r="I273" s="15"/>
      <c r="J273" s="11"/>
      <c r="K273" s="11"/>
    </row>
    <row r="274" ht="22" customHeight="1" spans="1:11" x14ac:dyDescent="0.25">
      <c r="A274" s="16"/>
      <c r="B274" s="15"/>
      <c r="C274" s="15"/>
      <c r="D274" s="11"/>
      <c r="E274" s="11"/>
      <c r="F274" s="11"/>
      <c r="G274" s="7"/>
      <c r="H274" s="15"/>
      <c r="I274" s="15"/>
      <c r="J274" s="11"/>
      <c r="K274" s="11"/>
    </row>
    <row r="275" ht="22" customHeight="1" spans="1:11" x14ac:dyDescent="0.25">
      <c r="A275" s="16"/>
      <c r="B275" s="15"/>
      <c r="C275" s="15"/>
      <c r="D275" s="11"/>
      <c r="E275" s="11"/>
      <c r="F275" s="11"/>
      <c r="G275" s="7"/>
      <c r="H275" s="15"/>
      <c r="I275" s="15"/>
      <c r="J275" s="11"/>
      <c r="K275" s="11"/>
    </row>
    <row r="276" ht="22" customHeight="1" spans="1:11" x14ac:dyDescent="0.25">
      <c r="A276" s="16"/>
      <c r="B276" s="15"/>
      <c r="C276" s="15"/>
      <c r="D276" s="11"/>
      <c r="E276" s="11"/>
      <c r="F276" s="11"/>
      <c r="G276" s="7"/>
      <c r="H276" s="15"/>
      <c r="I276" s="15"/>
      <c r="J276" s="11"/>
      <c r="K276" s="11"/>
    </row>
    <row r="277" ht="22" customHeight="1" spans="1:11" x14ac:dyDescent="0.25">
      <c r="A277" s="16"/>
      <c r="B277" s="15"/>
      <c r="C277" s="15"/>
      <c r="D277" s="11"/>
      <c r="E277" s="11"/>
      <c r="F277" s="11"/>
      <c r="G277" s="7"/>
      <c r="H277" s="15"/>
      <c r="I277" s="15"/>
      <c r="J277" s="11"/>
      <c r="K277" s="11"/>
    </row>
    <row r="278" ht="22" customHeight="1" spans="1:11" x14ac:dyDescent="0.25">
      <c r="A278" s="16"/>
      <c r="B278" s="15"/>
      <c r="C278" s="15"/>
      <c r="D278" s="11"/>
      <c r="E278" s="11"/>
      <c r="F278" s="11"/>
      <c r="G278" s="7"/>
      <c r="H278" s="15"/>
      <c r="I278" s="15"/>
      <c r="J278" s="11"/>
      <c r="K278" s="11"/>
    </row>
    <row r="279" ht="22" customHeight="1" spans="1:11" x14ac:dyDescent="0.25">
      <c r="A279" s="16"/>
      <c r="B279" s="15"/>
      <c r="C279" s="15"/>
      <c r="D279" s="11"/>
      <c r="E279" s="11"/>
      <c r="F279" s="11"/>
      <c r="G279" s="7"/>
      <c r="H279" s="15"/>
      <c r="I279" s="15"/>
      <c r="J279" s="11"/>
      <c r="K279" s="11"/>
    </row>
    <row r="280" ht="22" customHeight="1" spans="1:11" x14ac:dyDescent="0.25">
      <c r="A280" s="16"/>
      <c r="B280" s="15"/>
      <c r="C280" s="15"/>
      <c r="D280" s="11"/>
      <c r="E280" s="11"/>
      <c r="F280" s="11"/>
      <c r="G280" s="7"/>
      <c r="H280" s="15"/>
      <c r="I280" s="15"/>
      <c r="J280" s="11"/>
      <c r="K280" s="11"/>
    </row>
    <row r="281" ht="22" customHeight="1" spans="1:11" x14ac:dyDescent="0.25">
      <c r="A281" s="16"/>
      <c r="B281" s="15"/>
      <c r="C281" s="15"/>
      <c r="D281" s="11"/>
      <c r="E281" s="11"/>
      <c r="F281" s="11"/>
      <c r="G281" s="7"/>
      <c r="H281" s="15"/>
      <c r="I281" s="15"/>
      <c r="J281" s="11"/>
      <c r="K281" s="11"/>
    </row>
    <row r="282" ht="22" customHeight="1" spans="1:11" x14ac:dyDescent="0.25">
      <c r="A282" s="16"/>
      <c r="B282" s="15"/>
      <c r="C282" s="15"/>
      <c r="D282" s="11"/>
      <c r="E282" s="11"/>
      <c r="F282" s="11"/>
      <c r="G282" s="7"/>
      <c r="H282" s="15"/>
      <c r="I282" s="15"/>
      <c r="J282" s="11"/>
      <c r="K282" s="11"/>
    </row>
    <row r="283" ht="22" customHeight="1" spans="1:11" x14ac:dyDescent="0.25">
      <c r="A283" s="16"/>
      <c r="B283" s="15"/>
      <c r="C283" s="15"/>
      <c r="D283" s="11"/>
      <c r="E283" s="11"/>
      <c r="F283" s="11"/>
      <c r="G283" s="7"/>
      <c r="H283" s="15"/>
      <c r="I283" s="15"/>
      <c r="J283" s="11"/>
      <c r="K283" s="11"/>
    </row>
    <row r="284" ht="22" customHeight="1" spans="1:11" x14ac:dyDescent="0.25">
      <c r="A284" s="16"/>
      <c r="B284" s="15"/>
      <c r="C284" s="15"/>
      <c r="D284" s="11"/>
      <c r="E284" s="11"/>
      <c r="F284" s="11"/>
      <c r="G284" s="7"/>
      <c r="H284" s="15"/>
      <c r="I284" s="15"/>
      <c r="J284" s="11"/>
      <c r="K284" s="11"/>
    </row>
    <row r="285" ht="22" customHeight="1" spans="1:11" x14ac:dyDescent="0.25">
      <c r="A285" s="16"/>
      <c r="B285" s="15"/>
      <c r="C285" s="15"/>
      <c r="D285" s="11"/>
      <c r="E285" s="11"/>
      <c r="F285" s="11"/>
      <c r="G285" s="7"/>
      <c r="H285" s="15"/>
      <c r="I285" s="15"/>
      <c r="J285" s="11"/>
      <c r="K285" s="11"/>
    </row>
    <row r="286" ht="22" customHeight="1" spans="1:11" x14ac:dyDescent="0.25">
      <c r="A286" s="16"/>
      <c r="B286" s="15"/>
      <c r="C286" s="15"/>
      <c r="D286" s="11"/>
      <c r="E286" s="11"/>
      <c r="F286" s="11"/>
      <c r="G286" s="7"/>
      <c r="H286" s="15"/>
      <c r="I286" s="15"/>
      <c r="J286" s="11"/>
      <c r="K286" s="11"/>
    </row>
    <row r="287" ht="22" customHeight="1" spans="1:11" x14ac:dyDescent="0.25">
      <c r="A287" s="16"/>
      <c r="B287" s="15"/>
      <c r="C287" s="15"/>
      <c r="D287" s="11"/>
      <c r="E287" s="11"/>
      <c r="F287" s="11"/>
      <c r="G287" s="7"/>
      <c r="H287" s="15"/>
      <c r="I287" s="15"/>
      <c r="J287" s="11"/>
      <c r="K287" s="11"/>
    </row>
    <row r="288" ht="22" customHeight="1" spans="1:11" x14ac:dyDescent="0.25">
      <c r="A288" s="16"/>
      <c r="B288" s="15"/>
      <c r="C288" s="15"/>
      <c r="D288" s="11"/>
      <c r="E288" s="11"/>
      <c r="F288" s="11"/>
      <c r="G288" s="7"/>
      <c r="H288" s="15"/>
      <c r="I288" s="15"/>
      <c r="J288" s="11"/>
      <c r="K288" s="11"/>
    </row>
    <row r="289" ht="22" customHeight="1" spans="1:11" x14ac:dyDescent="0.25">
      <c r="A289" s="16"/>
      <c r="B289" s="15"/>
      <c r="C289" s="15"/>
      <c r="D289" s="11"/>
      <c r="E289" s="11"/>
      <c r="F289" s="11"/>
      <c r="G289" s="7"/>
      <c r="H289" s="15"/>
      <c r="I289" s="15"/>
      <c r="J289" s="11"/>
      <c r="K289" s="11"/>
    </row>
    <row r="290" ht="22" customHeight="1" spans="1:11" x14ac:dyDescent="0.25">
      <c r="A290" s="16"/>
      <c r="B290" s="15"/>
      <c r="C290" s="15"/>
      <c r="D290" s="11"/>
      <c r="E290" s="11"/>
      <c r="F290" s="11"/>
      <c r="G290" s="7"/>
      <c r="H290" s="15"/>
      <c r="I290" s="15"/>
      <c r="J290" s="11"/>
      <c r="K290" s="11"/>
    </row>
    <row r="291" ht="22" customHeight="1" spans="1:11" x14ac:dyDescent="0.25">
      <c r="A291" s="16"/>
      <c r="B291" s="15"/>
      <c r="C291" s="15"/>
      <c r="D291" s="11"/>
      <c r="E291" s="11"/>
      <c r="F291" s="11"/>
      <c r="G291" s="7"/>
      <c r="H291" s="15"/>
      <c r="I291" s="15"/>
      <c r="J291" s="11"/>
      <c r="K291" s="11"/>
    </row>
    <row r="292" ht="22" customHeight="1" spans="1:11" x14ac:dyDescent="0.25">
      <c r="A292" s="16"/>
      <c r="B292" s="15"/>
      <c r="C292" s="15"/>
      <c r="D292" s="11"/>
      <c r="E292" s="11"/>
      <c r="F292" s="11"/>
      <c r="G292" s="7"/>
      <c r="H292" s="15"/>
      <c r="I292" s="15"/>
      <c r="J292" s="11"/>
      <c r="K292" s="11"/>
    </row>
    <row r="293" ht="22" customHeight="1" spans="1:11" x14ac:dyDescent="0.25">
      <c r="A293" s="16"/>
      <c r="B293" s="15"/>
      <c r="C293" s="15"/>
      <c r="D293" s="11"/>
      <c r="E293" s="11"/>
      <c r="F293" s="11"/>
      <c r="G293" s="7"/>
      <c r="H293" s="15"/>
      <c r="I293" s="15"/>
      <c r="J293" s="11"/>
      <c r="K293" s="11"/>
    </row>
    <row r="294" ht="22" customHeight="1" spans="1:11" x14ac:dyDescent="0.25">
      <c r="A294" s="16"/>
      <c r="B294" s="15"/>
      <c r="C294" s="15"/>
      <c r="D294" s="11"/>
      <c r="E294" s="11"/>
      <c r="F294" s="11"/>
      <c r="G294" s="7"/>
      <c r="H294" s="15"/>
      <c r="I294" s="15"/>
      <c r="J294" s="11"/>
      <c r="K294" s="11"/>
    </row>
    <row r="295" ht="22" customHeight="1" spans="1:11" x14ac:dyDescent="0.25">
      <c r="A295" s="16"/>
      <c r="B295" s="15"/>
      <c r="C295" s="15"/>
      <c r="D295" s="11"/>
      <c r="E295" s="11"/>
      <c r="F295" s="11"/>
      <c r="G295" s="7"/>
      <c r="H295" s="15"/>
      <c r="I295" s="15"/>
      <c r="J295" s="11"/>
      <c r="K295" s="11"/>
    </row>
    <row r="296" ht="22" customHeight="1" spans="1:11" x14ac:dyDescent="0.25">
      <c r="A296" s="16"/>
      <c r="B296" s="15"/>
      <c r="C296" s="15"/>
      <c r="D296" s="11"/>
      <c r="E296" s="11"/>
      <c r="F296" s="11"/>
      <c r="G296" s="7"/>
      <c r="H296" s="15"/>
      <c r="I296" s="15"/>
      <c r="J296" s="11"/>
      <c r="K296" s="11"/>
    </row>
    <row r="297" ht="22" customHeight="1" spans="1:11" x14ac:dyDescent="0.25">
      <c r="A297" s="16"/>
      <c r="B297" s="15"/>
      <c r="C297" s="15"/>
      <c r="D297" s="11"/>
      <c r="E297" s="11"/>
      <c r="F297" s="11"/>
      <c r="G297" s="7"/>
      <c r="H297" s="15"/>
      <c r="I297" s="15"/>
      <c r="J297" s="11"/>
      <c r="K297" s="11"/>
    </row>
    <row r="298" ht="22" customHeight="1" spans="1:11" x14ac:dyDescent="0.25">
      <c r="A298" s="16"/>
      <c r="B298" s="15"/>
      <c r="C298" s="15"/>
      <c r="D298" s="11"/>
      <c r="E298" s="11"/>
      <c r="F298" s="11"/>
      <c r="G298" s="7"/>
      <c r="H298" s="15"/>
      <c r="I298" s="15"/>
      <c r="J298" s="11"/>
      <c r="K298" s="11"/>
    </row>
    <row r="299" ht="22" customHeight="1" spans="1:11" x14ac:dyDescent="0.25">
      <c r="A299" s="16"/>
      <c r="B299" s="15"/>
      <c r="C299" s="15"/>
      <c r="D299" s="11"/>
      <c r="E299" s="11"/>
      <c r="F299" s="11"/>
      <c r="G299" s="7"/>
      <c r="H299" s="15"/>
      <c r="I299" s="15"/>
      <c r="J299" s="11"/>
      <c r="K299" s="11"/>
    </row>
    <row r="300" ht="22" customHeight="1" spans="1:11" x14ac:dyDescent="0.25">
      <c r="A300" s="16"/>
      <c r="B300" s="15"/>
      <c r="C300" s="15"/>
      <c r="D300" s="11"/>
      <c r="E300" s="11"/>
      <c r="F300" s="11"/>
      <c r="G300" s="7"/>
      <c r="H300" s="15"/>
      <c r="I300" s="15"/>
      <c r="J300" s="11"/>
      <c r="K300" s="11"/>
    </row>
    <row r="301" ht="22" customHeight="1" spans="1:11" x14ac:dyDescent="0.25">
      <c r="A301" s="16"/>
      <c r="B301" s="15"/>
      <c r="C301" s="15"/>
      <c r="D301" s="11"/>
      <c r="E301" s="11"/>
      <c r="F301" s="11"/>
      <c r="G301" s="7"/>
      <c r="H301" s="15"/>
      <c r="I301" s="15"/>
      <c r="J301" s="11"/>
      <c r="K301" s="11"/>
    </row>
    <row r="302" ht="22" customHeight="1" spans="1:11" x14ac:dyDescent="0.25">
      <c r="A302" s="16"/>
      <c r="B302" s="15"/>
      <c r="C302" s="15"/>
      <c r="D302" s="11"/>
      <c r="E302" s="11"/>
      <c r="F302" s="11"/>
      <c r="G302" s="7"/>
      <c r="H302" s="15"/>
      <c r="I302" s="15"/>
      <c r="J302" s="11"/>
      <c r="K302" s="11"/>
    </row>
    <row r="303" ht="22" customHeight="1" spans="1:11" x14ac:dyDescent="0.25">
      <c r="A303" s="16"/>
      <c r="B303" s="15"/>
      <c r="C303" s="15"/>
      <c r="D303" s="11"/>
      <c r="E303" s="11"/>
      <c r="F303" s="11"/>
      <c r="G303" s="7"/>
      <c r="H303" s="15"/>
      <c r="I303" s="15"/>
      <c r="J303" s="11"/>
      <c r="K303" s="11"/>
    </row>
    <row r="304" ht="22" customHeight="1" spans="1:11" x14ac:dyDescent="0.25">
      <c r="A304" s="16"/>
      <c r="B304" s="15"/>
      <c r="C304" s="15"/>
      <c r="D304" s="11"/>
      <c r="E304" s="11"/>
      <c r="F304" s="11"/>
      <c r="G304" s="7"/>
      <c r="H304" s="15"/>
      <c r="I304" s="15"/>
      <c r="J304" s="11"/>
      <c r="K304" s="11"/>
    </row>
    <row r="305" ht="22" customHeight="1" spans="1:11" x14ac:dyDescent="0.25">
      <c r="A305" s="16"/>
      <c r="B305" s="15"/>
      <c r="C305" s="15"/>
      <c r="D305" s="11"/>
      <c r="E305" s="11"/>
      <c r="F305" s="11"/>
      <c r="G305" s="7"/>
      <c r="H305" s="15"/>
      <c r="I305" s="15"/>
      <c r="J305" s="11"/>
      <c r="K305" s="11"/>
    </row>
    <row r="306" ht="22" customHeight="1" spans="1:11" x14ac:dyDescent="0.25">
      <c r="A306" s="16"/>
      <c r="B306" s="15"/>
      <c r="C306" s="15"/>
      <c r="D306" s="11"/>
      <c r="E306" s="11"/>
      <c r="F306" s="11"/>
      <c r="G306" s="7"/>
      <c r="H306" s="15"/>
      <c r="I306" s="15"/>
      <c r="J306" s="11"/>
      <c r="K306" s="11"/>
    </row>
    <row r="307" ht="22" customHeight="1" spans="1:11" x14ac:dyDescent="0.25">
      <c r="A307" s="16"/>
      <c r="B307" s="15"/>
      <c r="C307" s="15"/>
      <c r="D307" s="11"/>
      <c r="E307" s="11"/>
      <c r="F307" s="11"/>
      <c r="G307" s="7"/>
      <c r="H307" s="15"/>
      <c r="I307" s="15"/>
      <c r="J307" s="11"/>
      <c r="K307" s="11"/>
    </row>
    <row r="308" ht="22" customHeight="1" spans="1:11" x14ac:dyDescent="0.25">
      <c r="A308" s="16"/>
      <c r="B308" s="15"/>
      <c r="C308" s="15"/>
      <c r="D308" s="11"/>
      <c r="E308" s="11"/>
      <c r="F308" s="11"/>
      <c r="G308" s="7"/>
      <c r="H308" s="15"/>
      <c r="I308" s="15"/>
      <c r="J308" s="11"/>
      <c r="K308" s="11"/>
    </row>
    <row r="309" ht="22" customHeight="1" spans="1:11" x14ac:dyDescent="0.25">
      <c r="A309" s="16"/>
      <c r="B309" s="15"/>
      <c r="C309" s="15"/>
      <c r="D309" s="11"/>
      <c r="E309" s="11"/>
      <c r="F309" s="11"/>
      <c r="G309" s="7"/>
      <c r="H309" s="15"/>
      <c r="I309" s="15"/>
      <c r="J309" s="11"/>
      <c r="K309" s="11"/>
    </row>
    <row r="310" ht="22" customHeight="1" spans="1:11" x14ac:dyDescent="0.25">
      <c r="A310" s="16"/>
      <c r="B310" s="15"/>
      <c r="C310" s="15"/>
      <c r="D310" s="11"/>
      <c r="E310" s="11"/>
      <c r="F310" s="11"/>
      <c r="G310" s="7"/>
      <c r="H310" s="15"/>
      <c r="I310" s="15"/>
      <c r="J310" s="11"/>
      <c r="K310" s="11"/>
    </row>
    <row r="311" ht="22" customHeight="1" spans="1:11" x14ac:dyDescent="0.25">
      <c r="A311" s="16"/>
      <c r="B311" s="15"/>
      <c r="C311" s="15"/>
      <c r="D311" s="11"/>
      <c r="E311" s="11"/>
      <c r="F311" s="11"/>
      <c r="G311" s="7"/>
      <c r="H311" s="15"/>
      <c r="I311" s="15"/>
      <c r="J311" s="11"/>
      <c r="K311" s="11"/>
    </row>
    <row r="312" ht="22" customHeight="1" spans="1:11" x14ac:dyDescent="0.25">
      <c r="A312" s="16"/>
      <c r="B312" s="15"/>
      <c r="C312" s="15"/>
      <c r="D312" s="11"/>
      <c r="E312" s="11"/>
      <c r="F312" s="11"/>
      <c r="G312" s="7"/>
      <c r="H312" s="15"/>
      <c r="I312" s="15"/>
      <c r="J312" s="11"/>
      <c r="K312" s="11"/>
    </row>
    <row r="313" ht="22" customHeight="1" spans="1:11" x14ac:dyDescent="0.25">
      <c r="A313" s="16"/>
      <c r="B313" s="15"/>
      <c r="C313" s="15"/>
      <c r="D313" s="11"/>
      <c r="E313" s="11"/>
      <c r="F313" s="11"/>
      <c r="G313" s="7"/>
      <c r="H313" s="15"/>
      <c r="I313" s="15"/>
      <c r="J313" s="11"/>
      <c r="K313" s="11"/>
    </row>
    <row r="314" ht="22" customHeight="1" spans="1:11" x14ac:dyDescent="0.25">
      <c r="A314" s="16"/>
      <c r="B314" s="15"/>
      <c r="C314" s="15"/>
      <c r="D314" s="11"/>
      <c r="E314" s="11"/>
      <c r="F314" s="11"/>
      <c r="G314" s="7"/>
      <c r="H314" s="15"/>
      <c r="I314" s="15"/>
      <c r="J314" s="11"/>
      <c r="K314" s="11"/>
    </row>
    <row r="315" ht="22" customHeight="1" spans="1:11" x14ac:dyDescent="0.25">
      <c r="A315" s="16"/>
      <c r="B315" s="15"/>
      <c r="C315" s="15"/>
      <c r="D315" s="11"/>
      <c r="E315" s="11"/>
      <c r="F315" s="11"/>
      <c r="G315" s="7"/>
      <c r="H315" s="15"/>
      <c r="I315" s="15"/>
      <c r="J315" s="11"/>
      <c r="K315" s="11"/>
    </row>
    <row r="316" ht="22" customHeight="1" spans="1:11" x14ac:dyDescent="0.25">
      <c r="A316" s="16"/>
      <c r="B316" s="15"/>
      <c r="C316" s="15"/>
      <c r="D316" s="11"/>
      <c r="E316" s="11"/>
      <c r="F316" s="11"/>
      <c r="G316" s="7"/>
      <c r="H316" s="15"/>
      <c r="I316" s="15"/>
      <c r="J316" s="11"/>
      <c r="K316" s="11"/>
    </row>
    <row r="317" ht="22" customHeight="1" spans="1:11" x14ac:dyDescent="0.25">
      <c r="A317" s="16"/>
      <c r="B317" s="15"/>
      <c r="C317" s="15"/>
      <c r="D317" s="11"/>
      <c r="E317" s="11"/>
      <c r="F317" s="11"/>
      <c r="G317" s="7"/>
      <c r="H317" s="15"/>
      <c r="I317" s="15"/>
      <c r="J317" s="11"/>
      <c r="K317" s="11"/>
    </row>
    <row r="318" ht="22" customHeight="1" spans="1:11" x14ac:dyDescent="0.25">
      <c r="A318" s="16"/>
      <c r="B318" s="15"/>
      <c r="C318" s="15"/>
      <c r="D318" s="11"/>
      <c r="E318" s="11"/>
      <c r="F318" s="11"/>
      <c r="G318" s="7"/>
      <c r="H318" s="15"/>
      <c r="I318" s="15"/>
      <c r="J318" s="11"/>
      <c r="K318" s="11"/>
    </row>
    <row r="319" ht="22" customHeight="1" spans="1:11" x14ac:dyDescent="0.25">
      <c r="A319" s="16"/>
      <c r="B319" s="15"/>
      <c r="C319" s="15"/>
      <c r="D319" s="11"/>
      <c r="E319" s="11"/>
      <c r="F319" s="11"/>
      <c r="G319" s="7"/>
      <c r="H319" s="15"/>
      <c r="I319" s="15"/>
      <c r="J319" s="11"/>
      <c r="K319" s="11"/>
    </row>
    <row r="320" ht="22" customHeight="1" spans="1:11" x14ac:dyDescent="0.25">
      <c r="A320" s="16"/>
      <c r="B320" s="15"/>
      <c r="C320" s="15"/>
      <c r="D320" s="11"/>
      <c r="E320" s="11"/>
      <c r="F320" s="11"/>
      <c r="G320" s="7"/>
      <c r="H320" s="15"/>
      <c r="I320" s="15"/>
      <c r="J320" s="11"/>
      <c r="K320" s="11"/>
    </row>
    <row r="321" ht="22" customHeight="1" spans="1:11" x14ac:dyDescent="0.25">
      <c r="A321" s="16"/>
      <c r="B321" s="15"/>
      <c r="C321" s="15"/>
      <c r="D321" s="11"/>
      <c r="E321" s="11"/>
      <c r="F321" s="11"/>
      <c r="G321" s="7"/>
      <c r="H321" s="15"/>
      <c r="I321" s="15"/>
      <c r="J321" s="11"/>
      <c r="K321" s="11"/>
    </row>
    <row r="322" ht="22" customHeight="1" spans="1:11" x14ac:dyDescent="0.25">
      <c r="A322" s="16"/>
      <c r="B322" s="15"/>
      <c r="C322" s="15"/>
      <c r="D322" s="11"/>
      <c r="E322" s="11"/>
      <c r="F322" s="11"/>
      <c r="G322" s="7"/>
      <c r="H322" s="15"/>
      <c r="I322" s="15"/>
      <c r="J322" s="11"/>
      <c r="K322" s="11"/>
    </row>
    <row r="323" ht="22" customHeight="1" spans="1:11" x14ac:dyDescent="0.25">
      <c r="A323" s="16"/>
      <c r="B323" s="15"/>
      <c r="C323" s="15"/>
      <c r="D323" s="11"/>
      <c r="E323" s="11"/>
      <c r="F323" s="11"/>
      <c r="G323" s="7"/>
      <c r="H323" s="15"/>
      <c r="I323" s="15"/>
      <c r="J323" s="11"/>
      <c r="K323" s="11"/>
    </row>
    <row r="324" ht="22" customHeight="1" spans="1:11" x14ac:dyDescent="0.25">
      <c r="A324" s="16"/>
      <c r="B324" s="15"/>
      <c r="C324" s="15"/>
      <c r="D324" s="11"/>
      <c r="E324" s="11"/>
      <c r="F324" s="11"/>
      <c r="G324" s="7"/>
      <c r="H324" s="15"/>
      <c r="I324" s="15"/>
      <c r="J324" s="11"/>
      <c r="K324" s="11"/>
    </row>
    <row r="325" ht="22" customHeight="1" spans="1:11" x14ac:dyDescent="0.25">
      <c r="A325" s="16"/>
      <c r="B325" s="15"/>
      <c r="C325" s="15"/>
      <c r="D325" s="11"/>
      <c r="E325" s="11"/>
      <c r="F325" s="11"/>
      <c r="G325" s="7"/>
      <c r="H325" s="15"/>
      <c r="I325" s="15"/>
      <c r="J325" s="11"/>
      <c r="K325" s="11"/>
    </row>
    <row r="326" ht="22" customHeight="1" spans="1:11" x14ac:dyDescent="0.25">
      <c r="A326" s="16"/>
      <c r="B326" s="15"/>
      <c r="C326" s="15"/>
      <c r="D326" s="11"/>
      <c r="E326" s="11"/>
      <c r="F326" s="11"/>
      <c r="G326" s="7"/>
      <c r="H326" s="15"/>
      <c r="I326" s="15"/>
      <c r="J326" s="11"/>
      <c r="K326" s="11"/>
    </row>
    <row r="327" ht="22" customHeight="1" spans="1:11" x14ac:dyDescent="0.25">
      <c r="A327" s="16"/>
      <c r="B327" s="15"/>
      <c r="C327" s="15"/>
      <c r="D327" s="11"/>
      <c r="E327" s="11"/>
      <c r="F327" s="11"/>
      <c r="G327" s="7"/>
      <c r="H327" s="15"/>
      <c r="I327" s="15"/>
      <c r="J327" s="11"/>
      <c r="K327" s="11"/>
    </row>
    <row r="328" ht="22" customHeight="1" spans="1:11" x14ac:dyDescent="0.25">
      <c r="A328" s="16"/>
      <c r="B328" s="15"/>
      <c r="C328" s="15"/>
      <c r="D328" s="11"/>
      <c r="E328" s="11"/>
      <c r="F328" s="11"/>
      <c r="G328" s="7"/>
      <c r="H328" s="15"/>
      <c r="I328" s="15"/>
      <c r="J328" s="11"/>
      <c r="K328" s="11"/>
    </row>
    <row r="329" ht="22" customHeight="1" spans="1:11" x14ac:dyDescent="0.25">
      <c r="A329" s="16"/>
      <c r="B329" s="15"/>
      <c r="C329" s="15"/>
      <c r="D329" s="11"/>
      <c r="E329" s="11"/>
      <c r="F329" s="11"/>
      <c r="G329" s="7"/>
      <c r="H329" s="15"/>
      <c r="I329" s="15"/>
      <c r="J329" s="11"/>
      <c r="K329" s="11"/>
    </row>
    <row r="330" ht="22" customHeight="1" spans="1:11" x14ac:dyDescent="0.25">
      <c r="A330" s="16"/>
      <c r="B330" s="15"/>
      <c r="C330" s="15"/>
      <c r="D330" s="11"/>
      <c r="E330" s="11"/>
      <c r="F330" s="11"/>
      <c r="G330" s="7"/>
      <c r="H330" s="15"/>
      <c r="I330" s="15"/>
      <c r="J330" s="11"/>
      <c r="K330" s="11"/>
    </row>
    <row r="331" ht="22" customHeight="1" spans="1:11" x14ac:dyDescent="0.25">
      <c r="A331" s="16"/>
      <c r="B331" s="15"/>
      <c r="C331" s="15"/>
      <c r="D331" s="11"/>
      <c r="E331" s="11"/>
      <c r="F331" s="11"/>
      <c r="G331" s="7"/>
      <c r="H331" s="15"/>
      <c r="I331" s="15"/>
      <c r="J331" s="11"/>
      <c r="K331" s="11"/>
    </row>
    <row r="332" ht="22" customHeight="1" spans="1:11" x14ac:dyDescent="0.25">
      <c r="A332" s="16"/>
      <c r="B332" s="15"/>
      <c r="C332" s="15"/>
      <c r="D332" s="11"/>
      <c r="E332" s="11"/>
      <c r="F332" s="11"/>
      <c r="G332" s="7"/>
      <c r="H332" s="15"/>
      <c r="I332" s="15"/>
      <c r="J332" s="11"/>
      <c r="K332" s="11"/>
    </row>
    <row r="333" ht="22" customHeight="1" spans="1:11" x14ac:dyDescent="0.25">
      <c r="A333" s="16"/>
      <c r="B333" s="15"/>
      <c r="C333" s="15"/>
      <c r="D333" s="11"/>
      <c r="E333" s="11"/>
      <c r="F333" s="11"/>
      <c r="G333" s="7"/>
      <c r="H333" s="15"/>
      <c r="I333" s="15"/>
      <c r="J333" s="11"/>
      <c r="K333" s="11"/>
    </row>
    <row r="334" ht="22" customHeight="1" spans="1:11" x14ac:dyDescent="0.25">
      <c r="A334" s="16"/>
      <c r="B334" s="15"/>
      <c r="C334" s="15"/>
      <c r="D334" s="11"/>
      <c r="E334" s="11"/>
      <c r="F334" s="11"/>
      <c r="G334" s="7"/>
      <c r="H334" s="15"/>
      <c r="I334" s="15"/>
      <c r="J334" s="11"/>
      <c r="K334" s="11"/>
    </row>
    <row r="335" ht="22" customHeight="1" spans="1:11" x14ac:dyDescent="0.25">
      <c r="A335" s="16"/>
      <c r="B335" s="15"/>
      <c r="C335" s="15"/>
      <c r="D335" s="11"/>
      <c r="E335" s="11"/>
      <c r="F335" s="11"/>
      <c r="G335" s="7"/>
      <c r="H335" s="15"/>
      <c r="I335" s="15"/>
      <c r="J335" s="11"/>
      <c r="K335" s="11"/>
    </row>
    <row r="336" ht="22" customHeight="1" spans="1:11" x14ac:dyDescent="0.25">
      <c r="A336" s="16"/>
      <c r="B336" s="15"/>
      <c r="C336" s="15"/>
      <c r="D336" s="11"/>
      <c r="E336" s="11"/>
      <c r="F336" s="11"/>
      <c r="G336" s="7"/>
      <c r="H336" s="15"/>
      <c r="I336" s="15"/>
      <c r="J336" s="11"/>
      <c r="K336" s="11"/>
    </row>
    <row r="337" ht="22" customHeight="1" spans="1:11" x14ac:dyDescent="0.25">
      <c r="A337" s="16"/>
      <c r="B337" s="15"/>
      <c r="C337" s="15"/>
      <c r="D337" s="11"/>
      <c r="E337" s="11"/>
      <c r="F337" s="11"/>
      <c r="G337" s="7"/>
      <c r="H337" s="15"/>
      <c r="I337" s="15"/>
      <c r="J337" s="11"/>
      <c r="K337" s="11"/>
    </row>
    <row r="338" ht="22" customHeight="1" spans="1:11" x14ac:dyDescent="0.25">
      <c r="A338" s="16"/>
      <c r="B338" s="15"/>
      <c r="C338" s="15"/>
      <c r="D338" s="11"/>
      <c r="E338" s="11"/>
      <c r="F338" s="11"/>
      <c r="G338" s="7"/>
      <c r="H338" s="15"/>
      <c r="I338" s="15"/>
      <c r="J338" s="11"/>
      <c r="K338" s="11"/>
    </row>
    <row r="339" ht="22" customHeight="1" spans="1:11" x14ac:dyDescent="0.25">
      <c r="A339" s="16"/>
      <c r="B339" s="15"/>
      <c r="C339" s="15"/>
      <c r="D339" s="11"/>
      <c r="E339" s="11"/>
      <c r="F339" s="11"/>
      <c r="G339" s="7"/>
      <c r="H339" s="15"/>
      <c r="I339" s="15"/>
      <c r="J339" s="11"/>
      <c r="K339" s="11"/>
    </row>
    <row r="340" ht="22" customHeight="1" spans="1:11" x14ac:dyDescent="0.25">
      <c r="A340" s="16"/>
      <c r="B340" s="15"/>
      <c r="C340" s="15"/>
      <c r="D340" s="11"/>
      <c r="E340" s="11"/>
      <c r="F340" s="11"/>
      <c r="G340" s="7"/>
      <c r="H340" s="15"/>
      <c r="I340" s="15"/>
      <c r="J340" s="11"/>
      <c r="K340" s="11"/>
    </row>
    <row r="341" ht="22" customHeight="1" spans="1:11" x14ac:dyDescent="0.25">
      <c r="A341" s="16"/>
      <c r="B341" s="15"/>
      <c r="C341" s="15"/>
      <c r="D341" s="11"/>
      <c r="E341" s="11"/>
      <c r="F341" s="11"/>
      <c r="G341" s="7"/>
      <c r="H341" s="15"/>
      <c r="I341" s="15"/>
      <c r="J341" s="11"/>
      <c r="K341" s="11"/>
    </row>
    <row r="342" ht="22" customHeight="1" spans="1:11" x14ac:dyDescent="0.25">
      <c r="A342" s="16"/>
      <c r="B342" s="15"/>
      <c r="C342" s="15"/>
      <c r="D342" s="11"/>
      <c r="E342" s="11"/>
      <c r="F342" s="11"/>
      <c r="G342" s="7"/>
      <c r="H342" s="15"/>
      <c r="I342" s="15"/>
      <c r="J342" s="11"/>
      <c r="K342" s="11"/>
    </row>
    <row r="343" ht="22" customHeight="1" spans="1:11" x14ac:dyDescent="0.25">
      <c r="A343" s="16"/>
      <c r="B343" s="15"/>
      <c r="C343" s="15"/>
      <c r="D343" s="11"/>
      <c r="E343" s="11"/>
      <c r="F343" s="11"/>
      <c r="G343" s="7"/>
      <c r="H343" s="15"/>
      <c r="I343" s="15"/>
      <c r="J343" s="11"/>
      <c r="K343" s="11"/>
    </row>
    <row r="344" ht="22" customHeight="1" spans="1:11" x14ac:dyDescent="0.25">
      <c r="A344" s="16"/>
      <c r="B344" s="15"/>
      <c r="C344" s="15"/>
      <c r="D344" s="11"/>
      <c r="E344" s="11"/>
      <c r="F344" s="11"/>
      <c r="G344" s="7"/>
      <c r="H344" s="15"/>
      <c r="I344" s="15"/>
      <c r="J344" s="11"/>
      <c r="K344" s="11"/>
    </row>
    <row r="345" ht="22" customHeight="1" spans="1:11" x14ac:dyDescent="0.25">
      <c r="A345" s="16"/>
      <c r="B345" s="15"/>
      <c r="C345" s="15"/>
      <c r="D345" s="11"/>
      <c r="E345" s="11"/>
      <c r="F345" s="11"/>
      <c r="G345" s="7"/>
      <c r="H345" s="15"/>
      <c r="I345" s="15"/>
      <c r="J345" s="11"/>
      <c r="K345" s="11"/>
    </row>
    <row r="346" ht="22" customHeight="1" spans="1:11" x14ac:dyDescent="0.25">
      <c r="A346" s="16"/>
      <c r="B346" s="15"/>
      <c r="C346" s="15"/>
      <c r="D346" s="11"/>
      <c r="E346" s="11"/>
      <c r="F346" s="11"/>
      <c r="G346" s="7"/>
      <c r="H346" s="15"/>
      <c r="I346" s="15"/>
      <c r="J346" s="11"/>
      <c r="K346" s="11"/>
    </row>
    <row r="347" ht="22" customHeight="1" spans="1:11" x14ac:dyDescent="0.25">
      <c r="A347" s="16"/>
      <c r="B347" s="15"/>
      <c r="C347" s="15"/>
      <c r="D347" s="11"/>
      <c r="E347" s="11"/>
      <c r="F347" s="11"/>
      <c r="G347" s="7"/>
      <c r="H347" s="15"/>
      <c r="I347" s="15"/>
      <c r="J347" s="11"/>
      <c r="K347" s="11"/>
    </row>
    <row r="348" ht="22" customHeight="1" spans="1:11" x14ac:dyDescent="0.25">
      <c r="A348" s="16"/>
      <c r="B348" s="15"/>
      <c r="C348" s="15"/>
      <c r="D348" s="11"/>
      <c r="E348" s="11"/>
      <c r="F348" s="11"/>
      <c r="G348" s="7"/>
      <c r="H348" s="15"/>
      <c r="I348" s="15"/>
      <c r="J348" s="11"/>
      <c r="K348" s="11"/>
    </row>
    <row r="349" ht="22" customHeight="1" spans="1:11" x14ac:dyDescent="0.25">
      <c r="A349" s="16"/>
      <c r="B349" s="15"/>
      <c r="C349" s="15"/>
      <c r="D349" s="11"/>
      <c r="E349" s="11"/>
      <c r="F349" s="11"/>
      <c r="G349" s="7"/>
      <c r="H349" s="15"/>
      <c r="I349" s="15"/>
      <c r="J349" s="11"/>
      <c r="K349" s="11"/>
    </row>
    <row r="350" ht="22" customHeight="1" spans="1:11" x14ac:dyDescent="0.25">
      <c r="A350" s="16"/>
      <c r="B350" s="15"/>
      <c r="C350" s="15"/>
      <c r="D350" s="11"/>
      <c r="E350" s="11"/>
      <c r="F350" s="11"/>
      <c r="G350" s="7"/>
      <c r="H350" s="15"/>
      <c r="I350" s="15"/>
      <c r="J350" s="11"/>
      <c r="K350" s="11"/>
    </row>
    <row r="351" ht="22" customHeight="1" spans="1:11" x14ac:dyDescent="0.25">
      <c r="A351" s="16"/>
      <c r="B351" s="15"/>
      <c r="C351" s="15"/>
      <c r="D351" s="11"/>
      <c r="E351" s="11"/>
      <c r="F351" s="11"/>
      <c r="G351" s="7"/>
      <c r="H351" s="15"/>
      <c r="I351" s="15"/>
      <c r="J351" s="11"/>
      <c r="K351" s="11"/>
    </row>
    <row r="352" ht="22" customHeight="1" spans="1:11" x14ac:dyDescent="0.25">
      <c r="A352" s="16"/>
      <c r="B352" s="15"/>
      <c r="C352" s="15"/>
      <c r="D352" s="11"/>
      <c r="E352" s="11"/>
      <c r="F352" s="11"/>
      <c r="G352" s="7"/>
      <c r="H352" s="15"/>
      <c r="I352" s="15"/>
      <c r="J352" s="11"/>
      <c r="K352" s="11"/>
    </row>
    <row r="353" ht="22" customHeight="1" spans="1:11" x14ac:dyDescent="0.25">
      <c r="A353" s="16"/>
      <c r="B353" s="15"/>
      <c r="C353" s="15"/>
      <c r="D353" s="11"/>
      <c r="E353" s="11"/>
      <c r="F353" s="11"/>
      <c r="G353" s="7"/>
      <c r="H353" s="15"/>
      <c r="I353" s="15"/>
      <c r="J353" s="11"/>
      <c r="K353" s="11"/>
    </row>
    <row r="354" ht="22" customHeight="1" spans="1:11" x14ac:dyDescent="0.25">
      <c r="A354" s="16"/>
      <c r="B354" s="15"/>
      <c r="C354" s="15"/>
      <c r="D354" s="11"/>
      <c r="E354" s="11"/>
      <c r="F354" s="11"/>
      <c r="G354" s="7"/>
      <c r="H354" s="15"/>
      <c r="I354" s="15"/>
      <c r="J354" s="11"/>
      <c r="K354" s="11"/>
    </row>
    <row r="355" ht="22" customHeight="1" spans="1:11" x14ac:dyDescent="0.25">
      <c r="A355" s="16"/>
      <c r="B355" s="15"/>
      <c r="C355" s="15"/>
      <c r="D355" s="11"/>
      <c r="E355" s="11"/>
      <c r="F355" s="11"/>
      <c r="G355" s="7"/>
      <c r="H355" s="15"/>
      <c r="I355" s="15"/>
      <c r="J355" s="11"/>
      <c r="K355" s="11"/>
    </row>
    <row r="356" ht="22" customHeight="1" spans="1:11" x14ac:dyDescent="0.25">
      <c r="A356" s="16"/>
      <c r="B356" s="15"/>
      <c r="C356" s="15"/>
      <c r="D356" s="11"/>
      <c r="E356" s="11"/>
      <c r="F356" s="11"/>
      <c r="G356" s="7"/>
      <c r="H356" s="15"/>
      <c r="I356" s="15"/>
      <c r="J356" s="11"/>
      <c r="K356" s="11"/>
    </row>
    <row r="357" ht="22" customHeight="1" spans="1:11" x14ac:dyDescent="0.25">
      <c r="A357" s="16"/>
      <c r="B357" s="15"/>
      <c r="C357" s="15"/>
      <c r="D357" s="11"/>
      <c r="E357" s="11"/>
      <c r="F357" s="11"/>
      <c r="G357" s="7"/>
      <c r="H357" s="15"/>
      <c r="I357" s="15"/>
      <c r="J357" s="11"/>
      <c r="K357" s="11"/>
    </row>
    <row r="358" ht="22" customHeight="1" spans="1:11" x14ac:dyDescent="0.25">
      <c r="A358" s="16"/>
      <c r="B358" s="15"/>
      <c r="C358" s="15"/>
      <c r="D358" s="11"/>
      <c r="E358" s="11"/>
      <c r="F358" s="11"/>
      <c r="G358" s="7"/>
      <c r="H358" s="15"/>
      <c r="I358" s="15"/>
      <c r="J358" s="11"/>
      <c r="K358" s="11"/>
    </row>
    <row r="359" ht="22" customHeight="1" spans="1:11" x14ac:dyDescent="0.25">
      <c r="A359" s="16"/>
      <c r="B359" s="15"/>
      <c r="C359" s="15"/>
      <c r="D359" s="11"/>
      <c r="E359" s="11"/>
      <c r="F359" s="11"/>
      <c r="G359" s="7"/>
      <c r="H359" s="15"/>
      <c r="I359" s="15"/>
      <c r="J359" s="11"/>
      <c r="K359" s="11"/>
    </row>
    <row r="360" ht="22" customHeight="1" spans="1:11" x14ac:dyDescent="0.25">
      <c r="A360" s="16"/>
      <c r="B360" s="15"/>
      <c r="C360" s="15"/>
      <c r="D360" s="11"/>
      <c r="E360" s="11"/>
      <c r="F360" s="11"/>
      <c r="G360" s="7"/>
      <c r="H360" s="15"/>
      <c r="I360" s="15"/>
      <c r="J360" s="11"/>
      <c r="K360" s="11"/>
    </row>
    <row r="361" ht="22" customHeight="1" spans="1:11" x14ac:dyDescent="0.25">
      <c r="A361" s="16"/>
      <c r="B361" s="15"/>
      <c r="C361" s="15"/>
      <c r="D361" s="11"/>
      <c r="E361" s="11"/>
      <c r="F361" s="11"/>
      <c r="G361" s="7"/>
      <c r="H361" s="15"/>
      <c r="I361" s="15"/>
      <c r="J361" s="11"/>
      <c r="K361" s="11"/>
    </row>
    <row r="362" ht="22" customHeight="1" spans="1:11" x14ac:dyDescent="0.25">
      <c r="A362" s="16"/>
      <c r="B362" s="15"/>
      <c r="C362" s="15"/>
      <c r="D362" s="11"/>
      <c r="E362" s="11"/>
      <c r="F362" s="11"/>
      <c r="G362" s="7"/>
      <c r="H362" s="15"/>
      <c r="I362" s="15"/>
      <c r="J362" s="11"/>
      <c r="K362" s="11"/>
    </row>
    <row r="363" ht="22" customHeight="1" spans="1:11" x14ac:dyDescent="0.25">
      <c r="A363" s="16"/>
      <c r="B363" s="15"/>
      <c r="C363" s="15"/>
      <c r="D363" s="11"/>
      <c r="E363" s="11"/>
      <c r="F363" s="11"/>
      <c r="G363" s="7"/>
      <c r="H363" s="15"/>
      <c r="I363" s="15"/>
      <c r="J363" s="11"/>
      <c r="K363" s="11"/>
    </row>
    <row r="364" ht="22" customHeight="1" spans="1:11" x14ac:dyDescent="0.25">
      <c r="A364" s="16"/>
      <c r="B364" s="15"/>
      <c r="C364" s="15"/>
      <c r="D364" s="11"/>
      <c r="E364" s="11"/>
      <c r="F364" s="11"/>
      <c r="G364" s="7"/>
      <c r="H364" s="15"/>
      <c r="I364" s="15"/>
      <c r="J364" s="11"/>
      <c r="K364" s="11"/>
    </row>
    <row r="365" ht="22" customHeight="1" spans="1:11" x14ac:dyDescent="0.25">
      <c r="A365" s="16"/>
      <c r="B365" s="15"/>
      <c r="C365" s="15"/>
      <c r="D365" s="11"/>
      <c r="E365" s="11"/>
      <c r="F365" s="11"/>
      <c r="G365" s="7"/>
      <c r="H365" s="15"/>
      <c r="I365" s="15"/>
      <c r="J365" s="11"/>
      <c r="K365" s="11"/>
    </row>
    <row r="366" ht="22" customHeight="1" spans="1:11" x14ac:dyDescent="0.25">
      <c r="A366" s="16"/>
      <c r="B366" s="15"/>
      <c r="C366" s="15"/>
      <c r="D366" s="11"/>
      <c r="E366" s="11"/>
      <c r="F366" s="11"/>
      <c r="G366" s="7"/>
      <c r="H366" s="15"/>
      <c r="I366" s="15"/>
      <c r="J366" s="11"/>
      <c r="K366" s="11"/>
    </row>
    <row r="367" ht="22" customHeight="1" spans="1:11" x14ac:dyDescent="0.25">
      <c r="A367" s="16"/>
      <c r="B367" s="15"/>
      <c r="C367" s="15"/>
      <c r="D367" s="11"/>
      <c r="E367" s="11"/>
      <c r="F367" s="11"/>
      <c r="G367" s="7"/>
      <c r="H367" s="15"/>
      <c r="I367" s="15"/>
      <c r="J367" s="11"/>
      <c r="K367" s="11"/>
    </row>
    <row r="368" ht="22" customHeight="1" spans="1:11" x14ac:dyDescent="0.25">
      <c r="A368" s="16"/>
      <c r="B368" s="15"/>
      <c r="C368" s="15"/>
      <c r="D368" s="11"/>
      <c r="E368" s="11"/>
      <c r="F368" s="11"/>
      <c r="G368" s="7"/>
      <c r="H368" s="15"/>
      <c r="I368" s="15"/>
      <c r="J368" s="11"/>
      <c r="K368" s="11"/>
    </row>
    <row r="369" ht="22" customHeight="1" spans="1:11" x14ac:dyDescent="0.25">
      <c r="A369" s="16"/>
      <c r="B369" s="15"/>
      <c r="C369" s="15"/>
      <c r="D369" s="11"/>
      <c r="E369" s="11"/>
      <c r="F369" s="11"/>
      <c r="G369" s="7"/>
      <c r="H369" s="15"/>
      <c r="I369" s="15"/>
      <c r="J369" s="11"/>
      <c r="K369" s="11"/>
    </row>
    <row r="370" ht="22" customHeight="1" spans="1:11" x14ac:dyDescent="0.25">
      <c r="A370" s="16"/>
      <c r="B370" s="15"/>
      <c r="C370" s="15"/>
      <c r="D370" s="11"/>
      <c r="E370" s="11"/>
      <c r="F370" s="11"/>
      <c r="G370" s="7"/>
      <c r="H370" s="15"/>
      <c r="I370" s="15"/>
      <c r="J370" s="11"/>
      <c r="K370" s="11"/>
    </row>
    <row r="371" ht="22" customHeight="1" spans="1:11" x14ac:dyDescent="0.25">
      <c r="A371" s="16"/>
      <c r="B371" s="15"/>
      <c r="C371" s="15"/>
      <c r="D371" s="11"/>
      <c r="E371" s="11"/>
      <c r="F371" s="11"/>
      <c r="G371" s="7"/>
      <c r="H371" s="15"/>
      <c r="I371" s="15"/>
      <c r="J371" s="11"/>
      <c r="K371" s="11"/>
    </row>
    <row r="372" ht="22" customHeight="1" spans="1:11" x14ac:dyDescent="0.25">
      <c r="A372" s="16"/>
      <c r="B372" s="15"/>
      <c r="C372" s="15"/>
      <c r="D372" s="11"/>
      <c r="E372" s="11"/>
      <c r="F372" s="11"/>
      <c r="G372" s="7"/>
      <c r="H372" s="15"/>
      <c r="I372" s="15"/>
      <c r="J372" s="11"/>
      <c r="K372" s="11"/>
    </row>
    <row r="373" ht="22" customHeight="1" spans="1:11" x14ac:dyDescent="0.25">
      <c r="A373" s="16"/>
      <c r="B373" s="15"/>
      <c r="C373" s="15"/>
      <c r="D373" s="11"/>
      <c r="E373" s="11"/>
      <c r="F373" s="11"/>
      <c r="G373" s="7"/>
      <c r="H373" s="15"/>
      <c r="I373" s="15"/>
      <c r="J373" s="11"/>
      <c r="K373" s="11"/>
    </row>
    <row r="374" ht="22" customHeight="1" spans="1:11" x14ac:dyDescent="0.25">
      <c r="A374" s="16"/>
      <c r="B374" s="15"/>
      <c r="C374" s="15"/>
      <c r="D374" s="11"/>
      <c r="E374" s="11"/>
      <c r="F374" s="11"/>
      <c r="G374" s="7"/>
      <c r="H374" s="15"/>
      <c r="I374" s="15"/>
      <c r="J374" s="11"/>
      <c r="K374" s="11"/>
    </row>
    <row r="375" ht="22" customHeight="1" spans="1:11" x14ac:dyDescent="0.25">
      <c r="A375" s="16"/>
      <c r="B375" s="15"/>
      <c r="C375" s="15"/>
      <c r="D375" s="11"/>
      <c r="E375" s="11"/>
      <c r="F375" s="11"/>
      <c r="G375" s="7"/>
      <c r="H375" s="15"/>
      <c r="I375" s="15"/>
      <c r="J375" s="11"/>
      <c r="K375" s="11"/>
    </row>
    <row r="376" ht="22" customHeight="1" spans="1:11" x14ac:dyDescent="0.25">
      <c r="A376" s="16"/>
      <c r="B376" s="15"/>
      <c r="C376" s="15"/>
      <c r="D376" s="11"/>
      <c r="E376" s="11"/>
      <c r="F376" s="11"/>
      <c r="G376" s="7"/>
      <c r="H376" s="15"/>
      <c r="I376" s="15"/>
      <c r="J376" s="11"/>
      <c r="K376" s="11"/>
    </row>
    <row r="377" ht="22" customHeight="1" spans="1:11" x14ac:dyDescent="0.25">
      <c r="A377" s="16"/>
      <c r="B377" s="15"/>
      <c r="C377" s="15"/>
      <c r="D377" s="11"/>
      <c r="E377" s="11"/>
      <c r="F377" s="11"/>
      <c r="G377" s="7"/>
      <c r="H377" s="15"/>
      <c r="I377" s="15"/>
      <c r="J377" s="11"/>
      <c r="K377" s="11"/>
    </row>
    <row r="378" ht="22" customHeight="1" spans="1:11" x14ac:dyDescent="0.25">
      <c r="A378" s="16"/>
      <c r="B378" s="15"/>
      <c r="C378" s="15"/>
      <c r="D378" s="11"/>
      <c r="E378" s="11"/>
      <c r="F378" s="11"/>
      <c r="G378" s="7"/>
      <c r="H378" s="15"/>
      <c r="I378" s="15"/>
      <c r="J378" s="11"/>
      <c r="K378" s="11"/>
    </row>
    <row r="379" ht="22" customHeight="1" spans="1:11" x14ac:dyDescent="0.25">
      <c r="A379" s="16"/>
      <c r="B379" s="15"/>
      <c r="C379" s="15"/>
      <c r="D379" s="11"/>
      <c r="E379" s="11"/>
      <c r="F379" s="11"/>
      <c r="G379" s="7"/>
      <c r="H379" s="15"/>
      <c r="I379" s="15"/>
      <c r="J379" s="11"/>
      <c r="K379" s="11"/>
    </row>
    <row r="380" ht="22" customHeight="1" spans="1:11" x14ac:dyDescent="0.25">
      <c r="A380" s="16"/>
      <c r="B380" s="15"/>
      <c r="C380" s="15"/>
      <c r="D380" s="11"/>
      <c r="E380" s="11"/>
      <c r="F380" s="11"/>
      <c r="G380" s="7"/>
      <c r="H380" s="15"/>
      <c r="I380" s="15"/>
      <c r="J380" s="11"/>
      <c r="K380" s="11"/>
    </row>
    <row r="381" ht="22" customHeight="1" spans="1:11" x14ac:dyDescent="0.25">
      <c r="A381" s="16"/>
      <c r="B381" s="15"/>
      <c r="C381" s="15"/>
      <c r="D381" s="11"/>
      <c r="E381" s="11"/>
      <c r="F381" s="11"/>
      <c r="G381" s="7"/>
      <c r="H381" s="15"/>
      <c r="I381" s="15"/>
      <c r="J381" s="11"/>
      <c r="K381" s="11"/>
    </row>
    <row r="382" ht="22" customHeight="1" spans="1:11" x14ac:dyDescent="0.25">
      <c r="A382" s="16"/>
      <c r="B382" s="15"/>
      <c r="C382" s="15"/>
      <c r="D382" s="11"/>
      <c r="E382" s="11"/>
      <c r="F382" s="11"/>
      <c r="G382" s="7"/>
      <c r="H382" s="15"/>
      <c r="I382" s="15"/>
      <c r="J382" s="11"/>
      <c r="K382" s="11"/>
    </row>
    <row r="383" ht="22" customHeight="1" spans="1:11" x14ac:dyDescent="0.25">
      <c r="A383" s="16"/>
      <c r="B383" s="15"/>
      <c r="C383" s="15"/>
      <c r="D383" s="11"/>
      <c r="E383" s="11"/>
      <c r="F383" s="11"/>
      <c r="G383" s="7"/>
      <c r="H383" s="15"/>
      <c r="I383" s="15"/>
      <c r="J383" s="11"/>
      <c r="K383" s="11"/>
    </row>
    <row r="384" ht="22" customHeight="1" spans="1:11" x14ac:dyDescent="0.25">
      <c r="A384" s="16"/>
      <c r="B384" s="15"/>
      <c r="C384" s="15"/>
      <c r="D384" s="11"/>
      <c r="E384" s="11"/>
      <c r="F384" s="11"/>
      <c r="G384" s="7"/>
      <c r="H384" s="15"/>
      <c r="I384" s="15"/>
      <c r="J384" s="11"/>
      <c r="K384" s="11"/>
    </row>
    <row r="385" ht="22" customHeight="1" spans="1:11" x14ac:dyDescent="0.25">
      <c r="A385" s="16"/>
      <c r="B385" s="15"/>
      <c r="C385" s="15"/>
      <c r="D385" s="11"/>
      <c r="E385" s="11"/>
      <c r="F385" s="11"/>
      <c r="G385" s="7"/>
      <c r="H385" s="15"/>
      <c r="I385" s="15"/>
      <c r="J385" s="11"/>
      <c r="K385" s="11"/>
    </row>
    <row r="386" ht="22" customHeight="1" spans="1:11" x14ac:dyDescent="0.25">
      <c r="A386" s="16"/>
      <c r="B386" s="15"/>
      <c r="C386" s="15"/>
      <c r="D386" s="11"/>
      <c r="E386" s="11"/>
      <c r="F386" s="11"/>
      <c r="G386" s="7"/>
      <c r="H386" s="15"/>
      <c r="I386" s="15"/>
      <c r="J386" s="11"/>
      <c r="K386" s="11"/>
    </row>
    <row r="387" ht="22" customHeight="1" spans="1:11" x14ac:dyDescent="0.25">
      <c r="A387" s="16"/>
      <c r="B387" s="15"/>
      <c r="C387" s="15"/>
      <c r="D387" s="11"/>
      <c r="E387" s="11"/>
      <c r="F387" s="11"/>
      <c r="G387" s="7"/>
      <c r="H387" s="15"/>
      <c r="I387" s="15"/>
      <c r="J387" s="11"/>
      <c r="K387" s="11"/>
    </row>
    <row r="388" ht="22" customHeight="1" spans="1:11" x14ac:dyDescent="0.25">
      <c r="A388" s="16"/>
      <c r="B388" s="15"/>
      <c r="C388" s="15"/>
      <c r="D388" s="11"/>
      <c r="E388" s="11"/>
      <c r="F388" s="11"/>
      <c r="G388" s="7"/>
      <c r="H388" s="15"/>
      <c r="I388" s="15"/>
      <c r="J388" s="11"/>
      <c r="K388" s="11"/>
    </row>
    <row r="389" ht="22" customHeight="1" spans="1:11" x14ac:dyDescent="0.25">
      <c r="A389" s="16"/>
      <c r="B389" s="15"/>
      <c r="C389" s="15"/>
      <c r="D389" s="11"/>
      <c r="E389" s="11"/>
      <c r="F389" s="11"/>
      <c r="G389" s="7"/>
      <c r="H389" s="15"/>
      <c r="I389" s="15"/>
      <c r="J389" s="11"/>
      <c r="K389" s="11"/>
    </row>
    <row r="390" ht="22" customHeight="1" spans="1:11" x14ac:dyDescent="0.25">
      <c r="A390" s="16"/>
      <c r="B390" s="15"/>
      <c r="C390" s="15"/>
      <c r="D390" s="11"/>
      <c r="E390" s="11"/>
      <c r="F390" s="11"/>
      <c r="G390" s="7"/>
      <c r="H390" s="15"/>
      <c r="I390" s="15"/>
      <c r="J390" s="11"/>
      <c r="K390" s="11"/>
    </row>
    <row r="391" ht="22" customHeight="1" spans="1:11" x14ac:dyDescent="0.25">
      <c r="A391" s="16"/>
      <c r="B391" s="15"/>
      <c r="C391" s="15"/>
      <c r="D391" s="11"/>
      <c r="E391" s="11"/>
      <c r="F391" s="11"/>
      <c r="G391" s="7"/>
      <c r="H391" s="15"/>
      <c r="I391" s="15"/>
      <c r="J391" s="11"/>
      <c r="K391" s="11"/>
    </row>
    <row r="392" ht="22" customHeight="1" spans="1:11" x14ac:dyDescent="0.25">
      <c r="A392" s="16"/>
      <c r="B392" s="15"/>
      <c r="C392" s="15"/>
      <c r="D392" s="11"/>
      <c r="E392" s="11"/>
      <c r="F392" s="11"/>
      <c r="G392" s="7"/>
      <c r="H392" s="15"/>
      <c r="I392" s="15"/>
      <c r="J392" s="11"/>
      <c r="K392" s="11"/>
    </row>
    <row r="393" ht="22" customHeight="1" spans="1:11" x14ac:dyDescent="0.25">
      <c r="A393" s="16"/>
      <c r="B393" s="15"/>
      <c r="C393" s="15"/>
      <c r="D393" s="11"/>
      <c r="E393" s="11"/>
      <c r="F393" s="11"/>
      <c r="G393" s="7"/>
      <c r="H393" s="15"/>
      <c r="I393" s="15"/>
      <c r="J393" s="11"/>
      <c r="K393" s="11"/>
    </row>
    <row r="394" ht="22" customHeight="1" spans="1:11" x14ac:dyDescent="0.25">
      <c r="A394" s="16"/>
      <c r="B394" s="15"/>
      <c r="C394" s="15"/>
      <c r="D394" s="11"/>
      <c r="E394" s="11"/>
      <c r="F394" s="11"/>
      <c r="G394" s="7"/>
      <c r="H394" s="15"/>
      <c r="I394" s="15"/>
      <c r="J394" s="11"/>
      <c r="K394" s="11"/>
    </row>
    <row r="395" ht="22" customHeight="1" spans="1:11" x14ac:dyDescent="0.25">
      <c r="A395" s="16"/>
      <c r="B395" s="15"/>
      <c r="C395" s="15"/>
      <c r="D395" s="11"/>
      <c r="E395" s="11"/>
      <c r="F395" s="11"/>
      <c r="G395" s="7"/>
      <c r="H395" s="15"/>
      <c r="I395" s="15"/>
      <c r="J395" s="11"/>
      <c r="K395" s="11"/>
    </row>
    <row r="396" ht="22" customHeight="1" spans="1:11" x14ac:dyDescent="0.25">
      <c r="A396" s="16"/>
      <c r="B396" s="15"/>
      <c r="C396" s="15"/>
      <c r="D396" s="11"/>
      <c r="E396" s="11"/>
      <c r="F396" s="11"/>
      <c r="G396" s="7"/>
      <c r="H396" s="15"/>
      <c r="I396" s="15"/>
      <c r="J396" s="11"/>
      <c r="K396" s="11"/>
    </row>
    <row r="397" ht="22" customHeight="1" spans="1:11" x14ac:dyDescent="0.25">
      <c r="A397" s="16"/>
      <c r="B397" s="15"/>
      <c r="C397" s="15"/>
      <c r="D397" s="11"/>
      <c r="E397" s="11"/>
      <c r="F397" s="11"/>
      <c r="G397" s="7"/>
      <c r="H397" s="15"/>
      <c r="I397" s="15"/>
      <c r="J397" s="11"/>
      <c r="K397" s="11"/>
    </row>
    <row r="398" ht="22" customHeight="1" spans="1:11" x14ac:dyDescent="0.25">
      <c r="A398" s="16"/>
      <c r="B398" s="15"/>
      <c r="C398" s="15"/>
      <c r="D398" s="11"/>
      <c r="E398" s="11"/>
      <c r="F398" s="11"/>
      <c r="G398" s="7"/>
      <c r="H398" s="15"/>
      <c r="I398" s="15"/>
      <c r="J398" s="11"/>
      <c r="K398" s="11"/>
    </row>
    <row r="399" ht="22" customHeight="1" spans="1:11" x14ac:dyDescent="0.25">
      <c r="A399" s="16"/>
      <c r="B399" s="15"/>
      <c r="C399" s="15"/>
      <c r="D399" s="11"/>
      <c r="E399" s="11"/>
      <c r="F399" s="11"/>
      <c r="G399" s="7"/>
      <c r="H399" s="15"/>
      <c r="I399" s="15"/>
      <c r="J399" s="11"/>
      <c r="K399" s="11"/>
    </row>
    <row r="400" ht="22" customHeight="1" spans="1:11" x14ac:dyDescent="0.25">
      <c r="A400" s="16"/>
      <c r="B400" s="15"/>
      <c r="C400" s="15"/>
      <c r="D400" s="11"/>
      <c r="E400" s="11"/>
      <c r="F400" s="11"/>
      <c r="G400" s="7"/>
      <c r="H400" s="15"/>
      <c r="I400" s="15"/>
      <c r="J400" s="11"/>
      <c r="K400" s="11"/>
    </row>
    <row r="401" ht="22" customHeight="1" spans="1:11" x14ac:dyDescent="0.25">
      <c r="A401" s="16"/>
      <c r="B401" s="15"/>
      <c r="C401" s="15"/>
      <c r="D401" s="11"/>
      <c r="E401" s="11"/>
      <c r="F401" s="11"/>
      <c r="G401" s="7"/>
      <c r="H401" s="15"/>
      <c r="I401" s="15"/>
      <c r="J401" s="11"/>
      <c r="K401" s="11"/>
    </row>
    <row r="402" ht="22" customHeight="1" spans="1:11" x14ac:dyDescent="0.25">
      <c r="A402" s="16"/>
      <c r="B402" s="15"/>
      <c r="C402" s="15"/>
      <c r="D402" s="11"/>
      <c r="E402" s="11"/>
      <c r="F402" s="11"/>
      <c r="G402" s="7"/>
      <c r="H402" s="15"/>
      <c r="I402" s="15"/>
      <c r="J402" s="11"/>
      <c r="K402" s="11"/>
    </row>
    <row r="403" ht="22" customHeight="1" spans="1:11" x14ac:dyDescent="0.25">
      <c r="A403" s="16"/>
      <c r="B403" s="15"/>
      <c r="C403" s="15"/>
      <c r="D403" s="11"/>
      <c r="E403" s="11"/>
      <c r="F403" s="11"/>
      <c r="G403" s="7"/>
      <c r="H403" s="15"/>
      <c r="I403" s="15"/>
      <c r="J403" s="11"/>
      <c r="K403" s="11"/>
    </row>
    <row r="404" ht="22" customHeight="1" spans="1:11" x14ac:dyDescent="0.25">
      <c r="A404" s="16"/>
      <c r="B404" s="15"/>
      <c r="C404" s="15"/>
      <c r="D404" s="11"/>
      <c r="E404" s="11"/>
      <c r="F404" s="11"/>
      <c r="G404" s="7"/>
      <c r="H404" s="15"/>
      <c r="I404" s="15"/>
      <c r="J404" s="11"/>
      <c r="K404" s="11"/>
    </row>
    <row r="405" ht="22" customHeight="1" spans="1:11" x14ac:dyDescent="0.25">
      <c r="A405" s="15"/>
      <c r="B405" s="15"/>
      <c r="C405" s="15"/>
      <c r="D405" s="15"/>
      <c r="E405" s="15"/>
      <c r="F405" s="11"/>
      <c r="G405" s="15"/>
      <c r="H405" s="15"/>
      <c r="I405" s="15"/>
      <c r="J405" s="15"/>
      <c r="K405" s="15"/>
    </row>
  </sheetData>
  <mergeCells count="2">
    <mergeCell ref="A1:K1"/>
    <mergeCell ref="A2:K2"/>
  </mergeCells>
  <dataValidations count="8">
    <dataValidation type="list" allowBlank="1" sqref="C10:C404">
      <formula1>=Tipos</formula1>
    </dataValidation>
    <dataValidation type="list" allowBlank="1" sqref="C5:C404">
      <formula1>=Tipos</formula1>
    </dataValidation>
    <dataValidation type="list" allowBlank="1" sqref="D10:D404">
      <formula1>=Miembros</formula1>
    </dataValidation>
    <dataValidation type="list" allowBlank="1" sqref="D5:D404">
      <formula1>=Miembros</formula1>
    </dataValidation>
    <dataValidation type="list" allowBlank="1" sqref="H10:H404">
      <formula1>=Monedas</formula1>
    </dataValidation>
    <dataValidation type="list" allowBlank="1" sqref="H5:H404">
      <formula1>=Monedas</formula1>
    </dataValidation>
    <dataValidation type="list" allowBlank="1" sqref="J10:J404">
      <formula1>=Medios</formula1>
    </dataValidation>
    <dataValidation type="list" allowBlank="1" sqref="J5:J404">
      <formula1>=Medios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0"/>
  <cols>
    <col min="1" max="1" width="8" customWidth="1"/>
    <col min="2" max="2" width="5" customWidth="1"/>
    <col min="3" max="3" width="18" customWidth="1"/>
    <col min="4" max="7" width="16" customWidth="1"/>
    <col min="8" max="8" width="13" customWidth="1"/>
    <col min="9" max="9" width="18" customWidth="1"/>
  </cols>
  <sheetData>
    <row r="1" ht="28" customHeight="1" spans="1:9" x14ac:dyDescent="0.25">
      <c r="A1" s="5" t="s">
        <v>189</v>
      </c>
      <c r="B1" s="5"/>
      <c r="C1" s="5"/>
      <c r="D1" s="5"/>
      <c r="E1" s="5"/>
      <c r="F1" s="5"/>
      <c r="G1" s="5"/>
      <c r="H1" s="5"/>
      <c r="I1" s="5"/>
    </row>
    <row r="2" ht="18" customHeight="1" spans="1:9" x14ac:dyDescent="0.25">
      <c r="A2" s="6" t="s">
        <v>190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7"/>
      <c r="B3" s="7"/>
      <c r="C3" s="7"/>
      <c r="D3" s="7"/>
      <c r="E3" s="7"/>
      <c r="F3" s="7"/>
      <c r="G3" s="7"/>
      <c r="H3" s="7"/>
      <c r="I3" s="7"/>
    </row>
    <row r="4" ht="26" customHeight="1" spans="1:9" x14ac:dyDescent="0.25">
      <c r="A4" s="11" t="s">
        <v>175</v>
      </c>
      <c r="B4" s="11" t="s">
        <v>191</v>
      </c>
      <c r="C4" s="11" t="s">
        <v>192</v>
      </c>
      <c r="D4" s="11" t="s">
        <v>84</v>
      </c>
      <c r="E4" s="11" t="s">
        <v>193</v>
      </c>
      <c r="F4" s="11" t="s">
        <v>194</v>
      </c>
      <c r="G4" s="11" t="s">
        <v>195</v>
      </c>
      <c r="H4" s="11" t="s">
        <v>196</v>
      </c>
      <c r="I4" s="11" t="s">
        <v>197</v>
      </c>
    </row>
    <row r="5" ht="22" customHeight="1" spans="1:9" x14ac:dyDescent="0.25">
      <c r="A5" s="15" t="s">
        <v>198</v>
      </c>
      <c r="B5" s="15">
        <v>1</v>
      </c>
      <c r="C5" s="15">
        <f>SUMIFS(Cobros!$H:$H,Cobros!$D:$D,$B5)</f>
      </c>
      <c r="D5" s="15">
        <f>SUMIFS(Movimientos!$I:$I,Movimientos!$C:$C,"Ingreso",Movimientos!$B:$B,$B5)</f>
      </c>
      <c r="E5" s="15">
        <f>C5+D5</f>
      </c>
      <c r="F5" s="15">
        <f>SUMIFS(Movimientos!$I:$I,Movimientos!$C:$C,"Egreso",Movimientos!$B:$B,$B5)</f>
      </c>
      <c r="G5" s="15">
        <f>E5-F5</f>
      </c>
      <c r="H5" s="20">
        <f>IF(E5=0,"",G5/E5)</f>
      </c>
      <c r="I5" s="15">
        <f>G5</f>
      </c>
    </row>
    <row r="6" ht="22" customHeight="1" spans="1:9" x14ac:dyDescent="0.25">
      <c r="A6" s="15" t="s">
        <v>199</v>
      </c>
      <c r="B6" s="15">
        <v>2</v>
      </c>
      <c r="C6" s="15">
        <f>SUMIFS(Cobros!$H:$H,Cobros!$D:$D,$B6)</f>
      </c>
      <c r="D6" s="15">
        <f>SUMIFS(Movimientos!$I:$I,Movimientos!$C:$C,"Ingreso",Movimientos!$B:$B,$B6)</f>
      </c>
      <c r="E6" s="15">
        <f>C6+D6</f>
      </c>
      <c r="F6" s="15">
        <f>SUMIFS(Movimientos!$I:$I,Movimientos!$C:$C,"Egreso",Movimientos!$B:$B,$B6)</f>
      </c>
      <c r="G6" s="15">
        <f>E6-F6</f>
      </c>
      <c r="H6" s="20">
        <f>IF(E6=0,"",G6/E6)</f>
      </c>
      <c r="I6" s="15">
        <f>I5+G6</f>
      </c>
    </row>
    <row r="7" ht="22" customHeight="1" spans="1:9" x14ac:dyDescent="0.25">
      <c r="A7" s="15" t="s">
        <v>200</v>
      </c>
      <c r="B7" s="15">
        <v>3</v>
      </c>
      <c r="C7" s="15">
        <f>SUMIFS(Cobros!$H:$H,Cobros!$D:$D,$B7)</f>
      </c>
      <c r="D7" s="15">
        <f>SUMIFS(Movimientos!$I:$I,Movimientos!$C:$C,"Ingreso",Movimientos!$B:$B,$B7)</f>
      </c>
      <c r="E7" s="15">
        <f>C7+D7</f>
      </c>
      <c r="F7" s="15">
        <f>SUMIFS(Movimientos!$I:$I,Movimientos!$C:$C,"Egreso",Movimientos!$B:$B,$B7)</f>
      </c>
      <c r="G7" s="15">
        <f>E7-F7</f>
      </c>
      <c r="H7" s="20">
        <f>IF(E7=0,"",G7/E7)</f>
      </c>
      <c r="I7" s="15">
        <f>I6+G7</f>
      </c>
    </row>
    <row r="8" ht="22" customHeight="1" spans="1:9" x14ac:dyDescent="0.25">
      <c r="A8" s="15" t="s">
        <v>201</v>
      </c>
      <c r="B8" s="15">
        <v>4</v>
      </c>
      <c r="C8" s="15">
        <f>SUMIFS(Cobros!$H:$H,Cobros!$D:$D,$B8)</f>
      </c>
      <c r="D8" s="15">
        <f>SUMIFS(Movimientos!$I:$I,Movimientos!$C:$C,"Ingreso",Movimientos!$B:$B,$B8)</f>
      </c>
      <c r="E8" s="15">
        <f>C8+D8</f>
      </c>
      <c r="F8" s="15">
        <f>SUMIFS(Movimientos!$I:$I,Movimientos!$C:$C,"Egreso",Movimientos!$B:$B,$B8)</f>
      </c>
      <c r="G8" s="15">
        <f>E8-F8</f>
      </c>
      <c r="H8" s="20">
        <f>IF(E8=0,"",G8/E8)</f>
      </c>
      <c r="I8" s="15">
        <f>I7+G8</f>
      </c>
    </row>
    <row r="9" ht="22" customHeight="1" spans="1:9" x14ac:dyDescent="0.25">
      <c r="A9" s="15" t="s">
        <v>202</v>
      </c>
      <c r="B9" s="15">
        <v>5</v>
      </c>
      <c r="C9" s="15">
        <f>SUMIFS(Cobros!$H:$H,Cobros!$D:$D,$B9)</f>
      </c>
      <c r="D9" s="15">
        <f>SUMIFS(Movimientos!$I:$I,Movimientos!$C:$C,"Ingreso",Movimientos!$B:$B,$B9)</f>
      </c>
      <c r="E9" s="15">
        <f>C9+D9</f>
      </c>
      <c r="F9" s="15">
        <f>SUMIFS(Movimientos!$I:$I,Movimientos!$C:$C,"Egreso",Movimientos!$B:$B,$B9)</f>
      </c>
      <c r="G9" s="15">
        <f>E9-F9</f>
      </c>
      <c r="H9" s="20">
        <f>IF(E9=0,"",G9/E9)</f>
      </c>
      <c r="I9" s="15">
        <f>I8+G9</f>
      </c>
    </row>
    <row r="10" ht="22" customHeight="1" spans="1:9" x14ac:dyDescent="0.25">
      <c r="A10" s="15" t="s">
        <v>203</v>
      </c>
      <c r="B10" s="15">
        <v>6</v>
      </c>
      <c r="C10" s="15">
        <f>SUMIFS(Cobros!$H:$H,Cobros!$D:$D,$B10)</f>
      </c>
      <c r="D10" s="15">
        <f>SUMIFS(Movimientos!$I:$I,Movimientos!$C:$C,"Ingreso",Movimientos!$B:$B,$B10)</f>
      </c>
      <c r="E10" s="15">
        <f>C10+D10</f>
      </c>
      <c r="F10" s="15">
        <f>SUMIFS(Movimientos!$I:$I,Movimientos!$C:$C,"Egreso",Movimientos!$B:$B,$B10)</f>
      </c>
      <c r="G10" s="15">
        <f>E10-F10</f>
      </c>
      <c r="H10" s="20">
        <f>IF(E10=0,"",G10/E10)</f>
      </c>
      <c r="I10" s="15">
        <f>I9+G10</f>
      </c>
    </row>
    <row r="11" ht="22" customHeight="1" spans="1:9" x14ac:dyDescent="0.25">
      <c r="A11" s="15" t="s">
        <v>204</v>
      </c>
      <c r="B11" s="15">
        <v>7</v>
      </c>
      <c r="C11" s="15">
        <f>SUMIFS(Cobros!$H:$H,Cobros!$D:$D,$B11)</f>
      </c>
      <c r="D11" s="15">
        <f>SUMIFS(Movimientos!$I:$I,Movimientos!$C:$C,"Ingreso",Movimientos!$B:$B,$B11)</f>
      </c>
      <c r="E11" s="15">
        <f>C11+D11</f>
      </c>
      <c r="F11" s="15">
        <f>SUMIFS(Movimientos!$I:$I,Movimientos!$C:$C,"Egreso",Movimientos!$B:$B,$B11)</f>
      </c>
      <c r="G11" s="15">
        <f>E11-F11</f>
      </c>
      <c r="H11" s="20">
        <f>IF(E11=0,"",G11/E11)</f>
      </c>
      <c r="I11" s="15">
        <f>I10+G11</f>
      </c>
    </row>
    <row r="12" ht="22" customHeight="1" spans="1:9" x14ac:dyDescent="0.25">
      <c r="A12" s="15" t="s">
        <v>205</v>
      </c>
      <c r="B12" s="15">
        <v>8</v>
      </c>
      <c r="C12" s="15">
        <f>SUMIFS(Cobros!$H:$H,Cobros!$D:$D,$B12)</f>
      </c>
      <c r="D12" s="15">
        <f>SUMIFS(Movimientos!$I:$I,Movimientos!$C:$C,"Ingreso",Movimientos!$B:$B,$B12)</f>
      </c>
      <c r="E12" s="15">
        <f>C12+D12</f>
      </c>
      <c r="F12" s="15">
        <f>SUMIFS(Movimientos!$I:$I,Movimientos!$C:$C,"Egreso",Movimientos!$B:$B,$B12)</f>
      </c>
      <c r="G12" s="15">
        <f>E12-F12</f>
      </c>
      <c r="H12" s="20">
        <f>IF(E12=0,"",G12/E12)</f>
      </c>
      <c r="I12" s="15">
        <f>I11+G12</f>
      </c>
    </row>
    <row r="13" ht="22" customHeight="1" spans="1:9" x14ac:dyDescent="0.25">
      <c r="A13" s="15" t="s">
        <v>206</v>
      </c>
      <c r="B13" s="15">
        <v>9</v>
      </c>
      <c r="C13" s="15">
        <f>SUMIFS(Cobros!$H:$H,Cobros!$D:$D,$B13)</f>
      </c>
      <c r="D13" s="15">
        <f>SUMIFS(Movimientos!$I:$I,Movimientos!$C:$C,"Ingreso",Movimientos!$B:$B,$B13)</f>
      </c>
      <c r="E13" s="15">
        <f>C13+D13</f>
      </c>
      <c r="F13" s="15">
        <f>SUMIFS(Movimientos!$I:$I,Movimientos!$C:$C,"Egreso",Movimientos!$B:$B,$B13)</f>
      </c>
      <c r="G13" s="15">
        <f>E13-F13</f>
      </c>
      <c r="H13" s="20">
        <f>IF(E13=0,"",G13/E13)</f>
      </c>
      <c r="I13" s="15">
        <f>I12+G13</f>
      </c>
    </row>
    <row r="14" ht="22" customHeight="1" spans="1:9" x14ac:dyDescent="0.25">
      <c r="A14" s="15" t="s">
        <v>207</v>
      </c>
      <c r="B14" s="15">
        <v>10</v>
      </c>
      <c r="C14" s="15">
        <f>SUMIFS(Cobros!$H:$H,Cobros!$D:$D,$B14)</f>
      </c>
      <c r="D14" s="15">
        <f>SUMIFS(Movimientos!$I:$I,Movimientos!$C:$C,"Ingreso",Movimientos!$B:$B,$B14)</f>
      </c>
      <c r="E14" s="15">
        <f>C14+D14</f>
      </c>
      <c r="F14" s="15">
        <f>SUMIFS(Movimientos!$I:$I,Movimientos!$C:$C,"Egreso",Movimientos!$B:$B,$B14)</f>
      </c>
      <c r="G14" s="15">
        <f>E14-F14</f>
      </c>
      <c r="H14" s="20">
        <f>IF(E14=0,"",G14/E14)</f>
      </c>
      <c r="I14" s="15">
        <f>I13+G14</f>
      </c>
    </row>
    <row r="15" ht="22" customHeight="1" spans="1:9" x14ac:dyDescent="0.25">
      <c r="A15" s="15" t="s">
        <v>208</v>
      </c>
      <c r="B15" s="15">
        <v>11</v>
      </c>
      <c r="C15" s="15">
        <f>SUMIFS(Cobros!$H:$H,Cobros!$D:$D,$B15)</f>
      </c>
      <c r="D15" s="15">
        <f>SUMIFS(Movimientos!$I:$I,Movimientos!$C:$C,"Ingreso",Movimientos!$B:$B,$B15)</f>
      </c>
      <c r="E15" s="15">
        <f>C15+D15</f>
      </c>
      <c r="F15" s="15">
        <f>SUMIFS(Movimientos!$I:$I,Movimientos!$C:$C,"Egreso",Movimientos!$B:$B,$B15)</f>
      </c>
      <c r="G15" s="15">
        <f>E15-F15</f>
      </c>
      <c r="H15" s="20">
        <f>IF(E15=0,"",G15/E15)</f>
      </c>
      <c r="I15" s="15">
        <f>I14+G15</f>
      </c>
    </row>
    <row r="16" ht="22" customHeight="1" spans="1:9" x14ac:dyDescent="0.25">
      <c r="A16" s="15" t="s">
        <v>209</v>
      </c>
      <c r="B16" s="15">
        <v>12</v>
      </c>
      <c r="C16" s="15">
        <f>SUMIFS(Cobros!$H:$H,Cobros!$D:$D,$B16)</f>
      </c>
      <c r="D16" s="15">
        <f>SUMIFS(Movimientos!$I:$I,Movimientos!$C:$C,"Ingreso",Movimientos!$B:$B,$B16)</f>
      </c>
      <c r="E16" s="15">
        <f>C16+D16</f>
      </c>
      <c r="F16" s="15">
        <f>SUMIFS(Movimientos!$I:$I,Movimientos!$C:$C,"Egreso",Movimientos!$B:$B,$B16)</f>
      </c>
      <c r="G16" s="15">
        <f>E16-F16</f>
      </c>
      <c r="H16" s="20">
        <f>IF(E16=0,"",G16/E16)</f>
      </c>
      <c r="I16" s="15">
        <f>I15+G16</f>
      </c>
    </row>
    <row r="17" ht="22" customHeight="1" spans="1:9" x14ac:dyDescent="0.25">
      <c r="A17" s="11" t="s">
        <v>210</v>
      </c>
      <c r="B17" s="15"/>
      <c r="C17" s="15">
        <f>SUM(C5:C16)</f>
      </c>
      <c r="D17" s="15">
        <f>SUM(D5:D16)</f>
      </c>
      <c r="E17" s="15">
        <f>SUM(E5:E16)</f>
      </c>
      <c r="F17" s="15">
        <f>SUM(F5:F16)</f>
      </c>
      <c r="G17" s="15">
        <f>SUM(G5:G16)</f>
      </c>
      <c r="H17" s="20">
        <f>IF(E17=0,"",G17/E17)</f>
      </c>
      <c r="I17" s="15"/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32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0"/>
  <cols>
    <col min="1" max="1" width="3" customWidth="1"/>
    <col min="2" max="2" width="40" customWidth="1"/>
    <col min="3" max="3" width="18" customWidth="1"/>
    <col min="4" max="4" width="50" customWidth="1"/>
    <col min="5" max="5" width="3" customWidth="1"/>
    <col min="6" max="6" width="18" customWidth="1"/>
    <col min="7" max="7" width="16" customWidth="1"/>
    <col min="8" max="8" width="14" customWidth="1"/>
  </cols>
  <sheetData>
    <row r="1" ht="28" customHeight="1" spans="1:8" x14ac:dyDescent="0.25">
      <c r="A1" s="5" t="s">
        <v>219</v>
      </c>
      <c r="B1" s="5"/>
      <c r="C1" s="5"/>
      <c r="D1" s="5"/>
      <c r="E1" s="5"/>
      <c r="F1" s="5"/>
      <c r="G1" s="5"/>
      <c r="H1" s="5"/>
    </row>
    <row r="2" ht="18" customHeight="1" spans="1:8" x14ac:dyDescent="0.25">
      <c r="A2" s="6" t="s">
        <v>220</v>
      </c>
      <c r="B2" s="6"/>
      <c r="C2" s="6"/>
      <c r="D2" s="6"/>
      <c r="E2" s="6"/>
      <c r="F2" s="6"/>
      <c r="G2" s="6"/>
      <c r="H2" s="6"/>
    </row>
    <row r="4" ht="22" customHeight="1" spans="2:8" x14ac:dyDescent="0.25">
      <c r="B4" s="3" t="s">
        <v>221</v>
      </c>
      <c r="C4" s="3"/>
      <c r="D4" s="3"/>
      <c r="F4" s="3" t="s">
        <v>222</v>
      </c>
      <c r="G4" s="3"/>
      <c r="H4" s="3"/>
    </row>
    <row r="5" ht="24" customHeight="1" spans="1:8" x14ac:dyDescent="0.25">
      <c r="A5" s="24"/>
      <c r="B5" s="11" t="s">
        <v>223</v>
      </c>
      <c r="C5" s="11" t="s">
        <v>224</v>
      </c>
      <c r="D5" s="11" t="s">
        <v>225</v>
      </c>
      <c r="E5" s="24"/>
      <c r="F5" s="11" t="s">
        <v>186</v>
      </c>
      <c r="G5" s="11" t="s">
        <v>226</v>
      </c>
      <c r="H5" s="11" t="s">
        <v>227</v>
      </c>
    </row>
    <row r="6" ht="22" customHeight="1" spans="2:8" x14ac:dyDescent="0.25">
      <c r="B6" s="11" t="s">
        <v>228</v>
      </c>
      <c r="C6" s="15">
        <f>'Resumen Mensual'!$E$17</f>
      </c>
      <c r="D6" s="11" t="s">
        <v>229</v>
      </c>
      <c r="F6" s="11" t="s">
        <v>230</v>
      </c>
      <c r="G6" s="15">
        <f>SUMIFS(Movimientos!$I:$I,Movimientos!$C:$C,"Egreso",Movimientos!$D:$D,"José",Movimientos!$B:$B,MONTH(TODAY()))</f>
        <v>0</v>
      </c>
      <c r="H6" s="20">
        <f>SUMIFS(Movimientos!$I:$I,Movimientos!$C:$C,"Egreso",Movimientos!$D:$D,"José")</f>
        <v>0</v>
      </c>
    </row>
    <row r="7" ht="22" customHeight="1" spans="2:8" x14ac:dyDescent="0.25">
      <c r="B7" s="11" t="s">
        <v>231</v>
      </c>
      <c r="C7" s="15">
        <f>'Resumen Mensual'!$F$17</f>
      </c>
      <c r="D7" s="11" t="s">
        <v>232</v>
      </c>
      <c r="F7" s="11" t="s">
        <v>233</v>
      </c>
      <c r="G7" s="15">
        <f>SUMIFS(Movimientos!$I:$I,Movimientos!$C:$C,"Egreso",Movimientos!$D:$D,"Clara",Movimientos!$B:$B,MONTH(TODAY()))</f>
        <v>0</v>
      </c>
      <c r="H7" s="20">
        <f>SUMIFS(Movimientos!$I:$I,Movimientos!$C:$C,"Egreso",Movimientos!$D:$D,"Clara")</f>
        <v>0</v>
      </c>
    </row>
    <row r="8" ht="22" customHeight="1" spans="2:8" x14ac:dyDescent="0.25">
      <c r="B8" s="11" t="s">
        <v>234</v>
      </c>
      <c r="C8" s="15">
        <f>'Resumen Mensual'!$G$17</f>
      </c>
      <c r="D8" s="11" t="s">
        <v>235</v>
      </c>
      <c r="F8" s="11" t="s">
        <v>236</v>
      </c>
      <c r="G8" s="15">
        <f>SUMIFS(Movimientos!$I:$I,Movimientos!$C:$C,"Egreso",Movimientos!$D:$D,"Laura",Movimientos!$B:$B,MONTH(TODAY()))</f>
        <v>0</v>
      </c>
      <c r="H8" s="20">
        <f>SUMIFS(Movimientos!$I:$I,Movimientos!$C:$C,"Egreso",Movimientos!$D:$D,"Laura")</f>
        <v>0</v>
      </c>
    </row>
    <row r="9" ht="22" customHeight="1" spans="2:8" x14ac:dyDescent="0.25">
      <c r="B9" s="11" t="s">
        <v>237</v>
      </c>
      <c r="C9" s="20">
        <f>IF('Resumen Mensual'!$E$17=0,"",'Resumen Mensual'!$G$17/'Resumen Mensual'!$E$17)</f>
      </c>
      <c r="D9" s="11" t="s">
        <v>238</v>
      </c>
      <c r="F9" s="11" t="s">
        <v>72</v>
      </c>
      <c r="G9" s="15">
        <f>SUMIFS(Movimientos!$I:$I,Movimientos!$C:$C,"Egreso",Movimientos!$D:$D,"Familia",Movimientos!$B:$B,MONTH(TODAY()))</f>
        <v>0</v>
      </c>
      <c r="H9" s="20">
        <f>SUMIFS(Movimientos!$I:$I,Movimientos!$C:$C,"Egreso",Movimientos!$D:$D,"Familia")</f>
        <v>0</v>
      </c>
    </row>
    <row r="10" ht="24" customHeight="1" spans="2:8" x14ac:dyDescent="0.25">
      <c r="B10" s="11" t="s">
        <v>239</v>
      </c>
      <c r="C10" s="20">
        <f>IF('Resumen Mensual'!$E$17=0,"",'Resumen Mensual'!$F$17/'Resumen Mensual'!$E$17)</f>
      </c>
      <c r="D10" s="11" t="s">
        <v>240</v>
      </c>
      <c r="F10" s="11" t="s">
        <v>218</v>
      </c>
      <c r="G10" s="15">
        <f>SUM(G6:G9)</f>
        <v>0</v>
      </c>
      <c r="H10" s="15">
        <f>SUM(H6:H9)</f>
        <v>0</v>
      </c>
    </row>
    <row r="11" ht="22" customHeight="1" spans="2:8" x14ac:dyDescent="0.25">
      <c r="B11" s="11"/>
      <c r="C11" s="15"/>
      <c r="D11" s="11"/>
      <c r="F11" s="11"/>
      <c r="G11" s="15"/>
      <c r="H11" s="15"/>
    </row>
    <row r="12" ht="22" customHeight="1" spans="2:8" x14ac:dyDescent="0.25">
      <c r="B12" s="3" t="s">
        <v>241</v>
      </c>
      <c r="C12" s="15"/>
      <c r="D12" s="11"/>
      <c r="F12" s="11"/>
      <c r="G12" s="15"/>
      <c r="H12" s="15"/>
    </row>
    <row r="13" ht="22" customHeight="1" spans="2:8" x14ac:dyDescent="0.25">
      <c r="B13" s="11" t="s">
        <v>223</v>
      </c>
      <c r="C13" s="11" t="s">
        <v>224</v>
      </c>
      <c r="D13" s="11" t="s">
        <v>225</v>
      </c>
      <c r="F13" s="3" t="s">
        <v>242</v>
      </c>
      <c r="G13" s="15"/>
      <c r="H13" s="15"/>
    </row>
    <row r="14" ht="22" customHeight="1" spans="2:8" x14ac:dyDescent="0.25">
      <c r="B14" s="11" t="s">
        <v>243</v>
      </c>
      <c r="C14" s="15">
        <f>AVERAGE('Resumen Mensual'!E5:E16)</f>
      </c>
      <c r="D14" s="11" t="s">
        <v>244</v>
      </c>
      <c r="F14" s="11" t="s">
        <v>187</v>
      </c>
      <c r="G14" s="11" t="s">
        <v>194</v>
      </c>
      <c r="H14" s="11" t="s">
        <v>245</v>
      </c>
    </row>
    <row r="15" ht="22" customHeight="1" spans="2:8" x14ac:dyDescent="0.25">
      <c r="B15" s="11" t="s">
        <v>246</v>
      </c>
      <c r="C15" s="15">
        <f>AVERAGE('Resumen Mensual'!F5:F16)</f>
      </c>
      <c r="D15" s="11" t="s">
        <v>244</v>
      </c>
      <c r="F15" s="11" t="s">
        <v>55</v>
      </c>
      <c r="G15" s="15">
        <f>Presupuesto!D5</f>
      </c>
      <c r="H15" s="20">
        <f>IF('Resumen Mensual'!$F$17=0,"",G15/'Resumen Mensual'!$F$17)</f>
      </c>
    </row>
    <row r="16" ht="22" customHeight="1" spans="2:8" x14ac:dyDescent="0.25">
      <c r="B16" s="11" t="s">
        <v>247</v>
      </c>
      <c r="C16" s="15">
        <f>AVERAGE('Resumen Mensual'!G5:G16)</f>
      </c>
      <c r="D16" s="11" t="s">
        <v>248</v>
      </c>
      <c r="F16" s="11" t="s">
        <v>63</v>
      </c>
      <c r="G16" s="15">
        <f>Presupuesto!D6</f>
      </c>
      <c r="H16" s="20">
        <f>IF('Resumen Mensual'!$F$17=0,"",G16/'Resumen Mensual'!$F$17)</f>
      </c>
    </row>
    <row r="17" ht="22" customHeight="1" spans="2:8" x14ac:dyDescent="0.25">
      <c r="B17" s="11"/>
      <c r="C17" s="15"/>
      <c r="D17" s="11"/>
      <c r="F17" s="11" t="s">
        <v>69</v>
      </c>
      <c r="G17" s="15">
        <f>Presupuesto!D7</f>
      </c>
      <c r="H17" s="20">
        <f>IF('Resumen Mensual'!$F$17=0,"",G17/'Resumen Mensual'!$F$17)</f>
      </c>
    </row>
    <row r="18" ht="22" customHeight="1" spans="2:8" x14ac:dyDescent="0.25">
      <c r="B18" s="3" t="s">
        <v>249</v>
      </c>
      <c r="C18" s="15"/>
      <c r="D18" s="11"/>
      <c r="F18" s="11" t="s">
        <v>75</v>
      </c>
      <c r="G18" s="15">
        <f>Presupuesto!D8</f>
      </c>
      <c r="H18" s="20">
        <f>IF('Resumen Mensual'!$F$17=0,"",G18/'Resumen Mensual'!$F$17)</f>
      </c>
    </row>
    <row r="19" ht="22" customHeight="1" spans="2:8" x14ac:dyDescent="0.25">
      <c r="B19" s="11" t="s">
        <v>223</v>
      </c>
      <c r="C19" s="11" t="s">
        <v>224</v>
      </c>
      <c r="D19" s="11" t="s">
        <v>225</v>
      </c>
      <c r="F19" s="11" t="s">
        <v>79</v>
      </c>
      <c r="G19" s="15">
        <f>Presupuesto!D9</f>
      </c>
      <c r="H19" s="20">
        <f>IF('Resumen Mensual'!$F$17=0,"",G19/'Resumen Mensual'!$F$17)</f>
      </c>
    </row>
    <row r="20" ht="22" customHeight="1" spans="2:8" x14ac:dyDescent="0.25">
      <c r="B20" s="11" t="s">
        <v>250</v>
      </c>
      <c r="C20" s="15">
        <f>'Tablero Inquilinos'!$Q$34</f>
      </c>
      <c r="D20" s="11" t="s">
        <v>251</v>
      </c>
      <c r="F20" s="11" t="s">
        <v>83</v>
      </c>
      <c r="G20" s="15">
        <f>Presupuesto!D10</f>
      </c>
      <c r="H20" s="20">
        <f>IF('Resumen Mensual'!$F$17=0,"",G20/'Resumen Mensual'!$F$17)</f>
      </c>
    </row>
    <row r="21" ht="22" customHeight="1" spans="2:8" x14ac:dyDescent="0.25">
      <c r="B21" s="11" t="s">
        <v>252</v>
      </c>
      <c r="C21" s="15">
        <f>'Tablero Inquilinos'!$O$34</f>
      </c>
      <c r="D21" s="11" t="s">
        <v>253</v>
      </c>
      <c r="F21" s="11" t="s">
        <v>85</v>
      </c>
      <c r="G21" s="15">
        <f>Presupuesto!D11</f>
      </c>
      <c r="H21" s="20">
        <f>IF('Resumen Mensual'!$F$17=0,"",G21/'Resumen Mensual'!$F$17)</f>
      </c>
    </row>
    <row r="22" ht="22" customHeight="1" spans="2:8" x14ac:dyDescent="0.25">
      <c r="B22" s="11" t="s">
        <v>254</v>
      </c>
      <c r="C22" s="20">
        <f>IF('Tablero Inquilinos'!$Q$34=0,"",'Tablero Inquilinos'!$O$34/'Tablero Inquilinos'!$Q$34)</f>
      </c>
      <c r="D22" s="11" t="s">
        <v>255</v>
      </c>
      <c r="F22" s="11" t="s">
        <v>86</v>
      </c>
      <c r="G22" s="15">
        <f>Presupuesto!D12</f>
      </c>
      <c r="H22" s="20">
        <f>IF('Resumen Mensual'!$F$17=0,"",G22/'Resumen Mensual'!$F$17)</f>
      </c>
    </row>
    <row r="23" ht="22" customHeight="1" spans="2:8" x14ac:dyDescent="0.25">
      <c r="B23" s="11" t="s">
        <v>256</v>
      </c>
      <c r="C23" s="20">
        <f>IF('Tablero Inquilinos'!$Q$34=0,"",1-'Tablero Inquilinos'!$O$34/'Tablero Inquilinos'!$Q$34)</f>
      </c>
      <c r="D23" s="11" t="s">
        <v>257</v>
      </c>
      <c r="F23" s="11" t="s">
        <v>87</v>
      </c>
      <c r="G23" s="15">
        <f>Presupuesto!D13</f>
      </c>
      <c r="H23" s="20">
        <f>IF('Resumen Mensual'!$F$17=0,"",G23/'Resumen Mensual'!$F$17)</f>
      </c>
    </row>
    <row r="24" ht="22" customHeight="1" spans="2:8" x14ac:dyDescent="0.25">
      <c r="B24" s="11" t="s">
        <v>258</v>
      </c>
      <c r="C24" s="15">
        <f>IF(COUNT(Inquilinos!P5:P33)=0,"",AVERAGE(Inquilinos!P5:P33))</f>
      </c>
      <c r="D24" s="11" t="s">
        <v>259</v>
      </c>
      <c r="F24" s="11" t="s">
        <v>88</v>
      </c>
      <c r="G24" s="15">
        <f>Presupuesto!D14</f>
      </c>
      <c r="H24" s="20">
        <f>IF('Resumen Mensual'!$F$17=0,"",G24/'Resumen Mensual'!$F$17)</f>
      </c>
    </row>
    <row r="25" ht="22" customHeight="1" spans="2:8" x14ac:dyDescent="0.25">
      <c r="B25" s="11" t="s">
        <v>260</v>
      </c>
      <c r="C25" s="20">
        <f>IF('Tablero Inquilinos'!$Q$34=0,"",MAX('Tablero Inquilinos'!Q5:Q33)/'Tablero Inquilinos'!$Q$34)</f>
      </c>
      <c r="D25" s="11" t="s">
        <v>261</v>
      </c>
      <c r="F25" s="11" t="s">
        <v>89</v>
      </c>
      <c r="G25" s="15">
        <f>Presupuesto!D15</f>
      </c>
      <c r="H25" s="20">
        <f>IF('Resumen Mensual'!$F$17=0,"",G25/'Resumen Mensual'!$F$17)</f>
      </c>
    </row>
    <row r="26" ht="22" customHeight="1" spans="2:8" x14ac:dyDescent="0.25">
      <c r="B26" s="11"/>
      <c r="C26" s="15"/>
      <c r="D26" s="11"/>
      <c r="F26" s="11" t="s">
        <v>90</v>
      </c>
      <c r="G26" s="15">
        <f>Presupuesto!D16</f>
      </c>
      <c r="H26" s="20">
        <f>IF('Resumen Mensual'!$F$17=0,"",G26/'Resumen Mensual'!$F$17)</f>
      </c>
    </row>
    <row r="27" ht="22" customHeight="1" spans="2:8" x14ac:dyDescent="0.25">
      <c r="B27" s="3" t="s">
        <v>262</v>
      </c>
      <c r="C27" s="15"/>
      <c r="D27" s="11"/>
      <c r="F27" s="11" t="s">
        <v>91</v>
      </c>
      <c r="G27" s="15">
        <f>Presupuesto!D17</f>
      </c>
      <c r="H27" s="20">
        <f>IF('Resumen Mensual'!$F$17=0,"",G27/'Resumen Mensual'!$F$17)</f>
      </c>
    </row>
    <row r="28" ht="22" customHeight="1" spans="2:8" x14ac:dyDescent="0.25">
      <c r="B28" s="11" t="s">
        <v>223</v>
      </c>
      <c r="C28" s="11" t="s">
        <v>224</v>
      </c>
      <c r="D28" s="11" t="s">
        <v>225</v>
      </c>
      <c r="F28" s="11" t="s">
        <v>92</v>
      </c>
      <c r="G28" s="15">
        <f>Presupuesto!D18</f>
      </c>
      <c r="H28" s="20">
        <f>IF('Resumen Mensual'!$F$17=0,"",G28/'Resumen Mensual'!$F$17)</f>
      </c>
    </row>
    <row r="29" ht="22" customHeight="1" spans="2:8" x14ac:dyDescent="0.25">
      <c r="B29" s="11" t="s">
        <v>263</v>
      </c>
      <c r="C29" s="15">
        <f>SaldoHoy</f>
      </c>
      <c r="D29" s="11" t="s">
        <v>264</v>
      </c>
      <c r="F29" s="11" t="s">
        <v>93</v>
      </c>
      <c r="G29" s="15">
        <f>Presupuesto!D19</f>
      </c>
      <c r="H29" s="20">
        <f>IF('Resumen Mensual'!$F$17=0,"",G29/'Resumen Mensual'!$F$17)</f>
      </c>
    </row>
    <row r="30" ht="22" customHeight="1" spans="2:8" x14ac:dyDescent="0.25">
      <c r="B30" s="11" t="s">
        <v>265</v>
      </c>
      <c r="C30" s="25">
        <f>IF(AVERAGE('Resumen Mensual'!F5:F16)=0,"",SaldoHoy/AVERAGE('Resumen Mensual'!F5:F16))</f>
      </c>
      <c r="D30" s="11" t="s">
        <v>266</v>
      </c>
      <c r="F30" s="11"/>
      <c r="G30" s="15"/>
      <c r="H30" s="15"/>
    </row>
    <row r="31" ht="22" customHeight="1" spans="2:8" x14ac:dyDescent="0.25">
      <c r="B31" s="11" t="s">
        <v>267</v>
      </c>
      <c r="C31" s="15">
        <f>FondoObj*AVERAGE('Resumen Mensual'!F5:F16)</f>
      </c>
      <c r="D31" s="11" t="s">
        <v>268</v>
      </c>
      <c r="F31" s="11"/>
      <c r="G31" s="15"/>
      <c r="H31" s="15"/>
    </row>
    <row r="32" ht="22" customHeight="1" spans="2:8" x14ac:dyDescent="0.25">
      <c r="B32" s="11" t="s">
        <v>269</v>
      </c>
      <c r="C32" s="15">
        <f>FondoObj*AVERAGE('Resumen Mensual'!F5:F16)-SaldoHoy</f>
      </c>
      <c r="D32" s="11" t="s">
        <v>270</v>
      </c>
      <c r="F32" s="11"/>
      <c r="G32" s="15"/>
      <c r="H32" s="15"/>
    </row>
  </sheetData>
  <mergeCells count="4">
    <mergeCell ref="A1:H1"/>
    <mergeCell ref="A2:H2"/>
    <mergeCell ref="B4:D4"/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Parametros</vt:lpstr>
      <vt:lpstr>Inquilinos</vt:lpstr>
      <vt:lpstr>Cobros</vt:lpstr>
      <vt:lpstr>Movimientos</vt:lpstr>
      <vt:lpstr>Resumen Mensual</vt:lpstr>
      <vt:lpstr>Presupuesto</vt:lpstr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2026-05-23T03:39:55Z</dcterms:created>
  <dcterms:modified xsi:type="dcterms:W3CDTF">2026-05-23T03:39:57Z</dcterms:modified>
</cp:coreProperties>
</file>